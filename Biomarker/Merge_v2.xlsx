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a_kist\Desktop\minsun\KIST\BioMarker\"/>
    </mc:Choice>
  </mc:AlternateContent>
  <xr:revisionPtr revIDLastSave="0" documentId="13_ncr:1_{04A5E892-C7D5-4E30-A110-2E6E4B44B02C}" xr6:coauthVersionLast="36" xr6:coauthVersionMax="47" xr10:uidLastSave="{00000000-0000-0000-0000-000000000000}"/>
  <bookViews>
    <workbookView xWindow="0" yWindow="0" windowWidth="21570" windowHeight="10035" xr2:uid="{053A8D3C-1CF9-4A6C-9F9D-2EEAAD26959D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10" i="1" l="1"/>
  <c r="AL6" i="1"/>
  <c r="AL7" i="1"/>
  <c r="AL8" i="1"/>
  <c r="AL9" i="1"/>
  <c r="AL12" i="1"/>
  <c r="AL13" i="1"/>
  <c r="AL14" i="1"/>
  <c r="AL16" i="1"/>
  <c r="AL19" i="1"/>
  <c r="AL20" i="1"/>
  <c r="AL21" i="1"/>
  <c r="AL3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24" i="1"/>
</calcChain>
</file>

<file path=xl/sharedStrings.xml><?xml version="1.0" encoding="utf-8"?>
<sst xmlns="http://schemas.openxmlformats.org/spreadsheetml/2006/main" count="153" uniqueCount="89">
  <si>
    <t>ID</t>
  </si>
  <si>
    <t>Sex</t>
  </si>
  <si>
    <t>Age</t>
  </si>
  <si>
    <t>BMI</t>
    <phoneticPr fontId="0" type="noConversion"/>
  </si>
  <si>
    <t>AST</t>
  </si>
  <si>
    <t>ALT</t>
  </si>
  <si>
    <t>ALP</t>
  </si>
  <si>
    <t>Bilirubin</t>
    <phoneticPr fontId="0" type="noConversion"/>
  </si>
  <si>
    <t>Protein</t>
    <phoneticPr fontId="0" type="noConversion"/>
  </si>
  <si>
    <t>Albumin</t>
  </si>
  <si>
    <t>Cholesterol</t>
    <phoneticPr fontId="0" type="noConversion"/>
  </si>
  <si>
    <t>Amylase</t>
    <phoneticPr fontId="0" type="noConversion"/>
  </si>
  <si>
    <t>R_Glucose</t>
    <phoneticPr fontId="0" type="noConversion"/>
  </si>
  <si>
    <t>CRP</t>
  </si>
  <si>
    <t>BUN</t>
  </si>
  <si>
    <t>Cr</t>
  </si>
  <si>
    <t>KUMC039</t>
  </si>
  <si>
    <t>F</t>
    <phoneticPr fontId="0" type="noConversion"/>
  </si>
  <si>
    <t>KUMC040</t>
  </si>
  <si>
    <t>M</t>
    <phoneticPr fontId="0" type="noConversion"/>
  </si>
  <si>
    <t>KUMC041</t>
  </si>
  <si>
    <t>KUMC042</t>
  </si>
  <si>
    <t>KUMC045</t>
  </si>
  <si>
    <t>KUMC046</t>
  </si>
  <si>
    <t>KUMC047</t>
  </si>
  <si>
    <t>KUMC048</t>
  </si>
  <si>
    <t>KUMC050</t>
  </si>
  <si>
    <t>KUMC051</t>
  </si>
  <si>
    <t>KUMC052</t>
  </si>
  <si>
    <t>KUMC053</t>
  </si>
  <si>
    <t>KUMC054</t>
  </si>
  <si>
    <t>KUMC056</t>
  </si>
  <si>
    <t>KUMC057</t>
  </si>
  <si>
    <t>KUMC058</t>
  </si>
  <si>
    <t>KUMC059</t>
  </si>
  <si>
    <t>KUMC060</t>
  </si>
  <si>
    <t>KUMC061</t>
  </si>
  <si>
    <t>KUMC062</t>
  </si>
  <si>
    <t>KUMC063</t>
    <phoneticPr fontId="0" type="noConversion"/>
  </si>
  <si>
    <t>KUMC064</t>
  </si>
  <si>
    <t>TG</t>
    <phoneticPr fontId="0" type="noConversion"/>
  </si>
  <si>
    <t>LDL</t>
    <phoneticPr fontId="0" type="noConversion"/>
  </si>
  <si>
    <t>HDL</t>
    <phoneticPr fontId="0" type="noConversion"/>
  </si>
  <si>
    <t>F_Glucose</t>
  </si>
  <si>
    <t>HbA1c</t>
  </si>
  <si>
    <t>PT</t>
  </si>
  <si>
    <t>APTT</t>
  </si>
  <si>
    <t>CrCl</t>
    <phoneticPr fontId="0" type="noConversion"/>
  </si>
  <si>
    <t>CD11b</t>
    <phoneticPr fontId="4" type="noConversion"/>
  </si>
  <si>
    <t>HLADR</t>
    <phoneticPr fontId="4" type="noConversion"/>
  </si>
  <si>
    <t>NK</t>
    <phoneticPr fontId="4" type="noConversion"/>
  </si>
  <si>
    <t>T</t>
    <phoneticPr fontId="4" type="noConversion"/>
  </si>
  <si>
    <t>MAIT</t>
    <phoneticPr fontId="8" type="noConversion"/>
  </si>
  <si>
    <t>gd1T</t>
    <phoneticPr fontId="8" type="noConversion"/>
  </si>
  <si>
    <t>gd2T</t>
    <phoneticPr fontId="8" type="noConversion"/>
  </si>
  <si>
    <t>NKT2</t>
    <phoneticPr fontId="8" type="noConversion"/>
  </si>
  <si>
    <t>CD8+T</t>
    <phoneticPr fontId="8" type="noConversion"/>
  </si>
  <si>
    <t>CD4+T</t>
    <phoneticPr fontId="8" type="noConversion"/>
  </si>
  <si>
    <t>CD8+Treg</t>
    <phoneticPr fontId="8" type="noConversion"/>
  </si>
  <si>
    <t>CD4+Treg</t>
    <phoneticPr fontId="8" type="noConversion"/>
  </si>
  <si>
    <t>ConvT%</t>
    <phoneticPr fontId="4" type="noConversion"/>
  </si>
  <si>
    <t>CD4trm</t>
    <phoneticPr fontId="4" type="noConversion"/>
  </si>
  <si>
    <t>CD8trm</t>
    <phoneticPr fontId="4" type="noConversion"/>
  </si>
  <si>
    <t>Transitional B</t>
    <phoneticPr fontId="8" type="noConversion"/>
  </si>
  <si>
    <t>Memory B</t>
    <phoneticPr fontId="10" type="noConversion"/>
  </si>
  <si>
    <t xml:space="preserve">Early Plasma B </t>
    <phoneticPr fontId="10" type="noConversion"/>
  </si>
  <si>
    <t>Plasma B</t>
    <phoneticPr fontId="10" type="noConversion"/>
  </si>
  <si>
    <t>ABC</t>
    <phoneticPr fontId="8" type="noConversion"/>
  </si>
  <si>
    <t>CD20T</t>
    <phoneticPr fontId="4" type="noConversion"/>
  </si>
  <si>
    <t>MAITtrm</t>
    <phoneticPr fontId="4" type="noConversion"/>
  </si>
  <si>
    <t>GD1Ttrm</t>
    <phoneticPr fontId="4" type="noConversion"/>
  </si>
  <si>
    <t>GD2Ttrm</t>
    <phoneticPr fontId="4" type="noConversion"/>
  </si>
  <si>
    <t>MAITgrzK</t>
    <phoneticPr fontId="4" type="noConversion"/>
  </si>
  <si>
    <t>CD4grzk</t>
    <phoneticPr fontId="4" type="noConversion"/>
  </si>
  <si>
    <t>CD8grzk</t>
    <phoneticPr fontId="4" type="noConversion"/>
  </si>
  <si>
    <t>GD2TgrzK</t>
    <phoneticPr fontId="4" type="noConversion"/>
  </si>
  <si>
    <t>GD1TgrzK</t>
    <phoneticPr fontId="4" type="noConversion"/>
  </si>
  <si>
    <t>GFR(CKD_EPI)</t>
    <phoneticPr fontId="4" type="noConversion"/>
  </si>
  <si>
    <t>B</t>
  </si>
  <si>
    <t>NKT1</t>
  </si>
  <si>
    <t>CD11c-CD206+</t>
  </si>
  <si>
    <t>CD11c-CD206-</t>
  </si>
  <si>
    <t>CD11c+CD206+</t>
    <phoneticPr fontId="4" type="noConversion"/>
  </si>
  <si>
    <t>CD11c+CD206-</t>
    <phoneticPr fontId="4" type="noConversion"/>
  </si>
  <si>
    <t>Dectin-1+1</t>
    <phoneticPr fontId="4" type="noConversion"/>
  </si>
  <si>
    <t>Dectin-1+2</t>
    <phoneticPr fontId="4" type="noConversion"/>
  </si>
  <si>
    <t>Dectin-1+3</t>
    <phoneticPr fontId="4" type="noConversion"/>
  </si>
  <si>
    <t>Dectin-1+4</t>
    <phoneticPr fontId="4" type="noConversion"/>
  </si>
  <si>
    <t>Gulucose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</si>
</sst>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1"/>
      <name val="Arial"/>
      <family val="2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1" applyFont="1" applyAlignment="1">
      <alignment horizontal="center"/>
    </xf>
    <xf numFmtId="2" fontId="2" fillId="0" borderId="0" xfId="0" applyNumberFormat="1" applyFont="1" applyAlignment="1">
      <alignment horizontal="center"/>
    </xf>
    <xf numFmtId="10" fontId="0" fillId="0" borderId="0" xfId="0" applyNumberFormat="1"/>
    <xf numFmtId="10" fontId="0" fillId="0" borderId="0" xfId="2" applyNumberFormat="1" applyFont="1" applyAlignment="1"/>
    <xf numFmtId="10" fontId="1" fillId="0" borderId="0" xfId="0" applyNumberFormat="1" applyFont="1"/>
    <xf numFmtId="10" fontId="0" fillId="0" borderId="0" xfId="0" applyNumberFormat="1" applyAlignment="1">
      <alignment vertical="center"/>
    </xf>
    <xf numFmtId="0" fontId="6" fillId="0" borderId="0" xfId="0" applyFont="1" applyAlignment="1">
      <alignment horizontal="center"/>
    </xf>
    <xf numFmtId="10" fontId="7" fillId="0" borderId="0" xfId="0" applyNumberFormat="1" applyFont="1"/>
    <xf numFmtId="9" fontId="0" fillId="0" borderId="0" xfId="0" applyNumberFormat="1"/>
    <xf numFmtId="176" fontId="0" fillId="0" borderId="0" xfId="0" applyNumberFormat="1"/>
    <xf numFmtId="10" fontId="9" fillId="0" borderId="0" xfId="0" applyNumberFormat="1" applyFont="1"/>
    <xf numFmtId="9" fontId="9" fillId="0" borderId="0" xfId="0" applyNumberFormat="1" applyFont="1"/>
    <xf numFmtId="10" fontId="6" fillId="0" borderId="0" xfId="0" applyNumberFormat="1" applyFont="1"/>
    <xf numFmtId="10" fontId="1" fillId="0" borderId="0" xfId="0" applyNumberFormat="1" applyFont="1" applyAlignment="1">
      <alignment vertical="center"/>
    </xf>
    <xf numFmtId="9" fontId="0" fillId="0" borderId="0" xfId="0" applyNumberFormat="1" applyAlignment="1">
      <alignment vertical="center"/>
    </xf>
    <xf numFmtId="10" fontId="5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0" fillId="0" borderId="0" xfId="2" applyNumberFormat="1" applyFont="1">
      <alignment vertical="center"/>
    </xf>
    <xf numFmtId="10" fontId="2" fillId="0" borderId="0" xfId="0" applyNumberFormat="1" applyFont="1"/>
    <xf numFmtId="0" fontId="1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</cellXfs>
  <cellStyles count="3">
    <cellStyle name="백분율" xfId="2" builtinId="5"/>
    <cellStyle name="표준" xfId="0" builtinId="0"/>
    <cellStyle name="표준 2" xfId="1" xr:uid="{3FF7E1D7-4CF4-42F1-86F3-B9BF73AEAF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C25D-2929-4215-8C58-DEFC65E4AD36}">
  <dimension ref="A1:CO49"/>
  <sheetViews>
    <sheetView tabSelected="1" zoomScale="70" zoomScaleNormal="70" workbookViewId="0">
      <pane xSplit="1" ySplit="1" topLeftCell="BD2" activePane="bottomRight" state="frozen"/>
      <selection pane="topRight" activeCell="B1" sqref="B1"/>
      <selection pane="bottomLeft" activeCell="A3" sqref="A3"/>
      <selection pane="bottomRight" activeCell="BY30" sqref="BY30"/>
    </sheetView>
  </sheetViews>
  <sheetFormatPr defaultRowHeight="16.5" x14ac:dyDescent="0.3"/>
  <cols>
    <col min="1" max="1" width="39.875" bestFit="1" customWidth="1"/>
    <col min="2" max="2" width="5" customWidth="1"/>
    <col min="3" max="3" width="5.25" bestFit="1" customWidth="1"/>
    <col min="4" max="4" width="9.75" bestFit="1" customWidth="1"/>
    <col min="5" max="7" width="5.875" bestFit="1" customWidth="1"/>
    <col min="8" max="8" width="8.75" bestFit="1" customWidth="1"/>
    <col min="9" max="9" width="8.125" bestFit="1" customWidth="1"/>
    <col min="10" max="10" width="8.875" bestFit="1" customWidth="1"/>
    <col min="11" max="11" width="7.375" bestFit="1" customWidth="1"/>
    <col min="12" max="12" width="6.75" bestFit="1" customWidth="1"/>
    <col min="13" max="13" width="11.25" bestFit="1" customWidth="1"/>
    <col min="14" max="16" width="9.375" bestFit="1" customWidth="1"/>
    <col min="17" max="17" width="10.875" bestFit="1" customWidth="1"/>
    <col min="18" max="18" width="10.625" bestFit="1" customWidth="1"/>
    <col min="19" max="19" width="9.375" bestFit="1" customWidth="1"/>
    <col min="20" max="20" width="7.875" customWidth="1"/>
    <col min="21" max="21" width="7.125" bestFit="1" customWidth="1"/>
    <col min="22" max="22" width="15" bestFit="1" customWidth="1"/>
    <col min="23" max="23" width="7.125" bestFit="1" customWidth="1"/>
    <col min="24" max="24" width="8.625" bestFit="1" customWidth="1"/>
    <col min="25" max="25" width="7.375" bestFit="1" customWidth="1"/>
    <col min="26" max="26" width="7.375" customWidth="1"/>
    <col min="27" max="32" width="7.25" bestFit="1" customWidth="1"/>
    <col min="33" max="33" width="7.25" customWidth="1"/>
    <col min="38" max="38" width="9.125" bestFit="1" customWidth="1"/>
    <col min="39" max="39" width="9.125" customWidth="1"/>
    <col min="40" max="40" width="8" bestFit="1" customWidth="1"/>
    <col min="45" max="46" width="9.125" customWidth="1"/>
    <col min="55" max="56" width="9.625" bestFit="1" customWidth="1"/>
    <col min="57" max="57" width="9.625" customWidth="1"/>
    <col min="58" max="58" width="11.125" bestFit="1" customWidth="1"/>
    <col min="64" max="64" width="15.5" bestFit="1" customWidth="1"/>
    <col min="65" max="65" width="16" bestFit="1" customWidth="1"/>
    <col min="66" max="66" width="15.5" bestFit="1" customWidth="1"/>
    <col min="67" max="67" width="15" bestFit="1" customWidth="1"/>
    <col min="68" max="71" width="15" customWidth="1"/>
    <col min="80" max="80" width="13.25" bestFit="1" customWidth="1"/>
    <col min="92" max="92" width="15.75" bestFit="1" customWidth="1"/>
    <col min="93" max="93" width="9.25" customWidth="1"/>
  </cols>
  <sheetData>
    <row r="1" spans="1:93" s="19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45</v>
      </c>
      <c r="L1" s="2" t="s">
        <v>46</v>
      </c>
      <c r="M1" s="2" t="s">
        <v>10</v>
      </c>
      <c r="N1" s="1" t="s">
        <v>40</v>
      </c>
      <c r="O1" s="1" t="s">
        <v>41</v>
      </c>
      <c r="P1" s="1" t="s">
        <v>42</v>
      </c>
      <c r="Q1" s="2" t="s">
        <v>12</v>
      </c>
      <c r="R1" s="2" t="s">
        <v>43</v>
      </c>
      <c r="S1" s="2" t="s">
        <v>44</v>
      </c>
      <c r="T1" s="2" t="s">
        <v>14</v>
      </c>
      <c r="U1" s="2" t="s">
        <v>15</v>
      </c>
      <c r="V1" s="1" t="s">
        <v>77</v>
      </c>
      <c r="W1" s="1" t="s">
        <v>47</v>
      </c>
      <c r="X1" s="2" t="s">
        <v>11</v>
      </c>
      <c r="Y1" s="2" t="s">
        <v>13</v>
      </c>
      <c r="Z1" s="2"/>
      <c r="AA1" s="9" t="s">
        <v>78</v>
      </c>
      <c r="AB1" s="9" t="s">
        <v>48</v>
      </c>
      <c r="AC1" s="9" t="s">
        <v>49</v>
      </c>
      <c r="AD1" s="25" t="s">
        <v>50</v>
      </c>
      <c r="AE1" s="25" t="s">
        <v>79</v>
      </c>
      <c r="AF1" s="25" t="s">
        <v>51</v>
      </c>
      <c r="AG1" s="25"/>
      <c r="AH1" s="26" t="s">
        <v>55</v>
      </c>
      <c r="AI1" s="26" t="s">
        <v>52</v>
      </c>
      <c r="AJ1" s="26" t="s">
        <v>53</v>
      </c>
      <c r="AK1" s="26" t="s">
        <v>54</v>
      </c>
      <c r="AL1" s="26" t="s">
        <v>60</v>
      </c>
      <c r="AM1" s="24"/>
      <c r="AN1" s="20" t="s">
        <v>56</v>
      </c>
      <c r="AO1" s="20" t="s">
        <v>57</v>
      </c>
      <c r="AP1" s="20" t="s">
        <v>58</v>
      </c>
      <c r="AQ1" s="20" t="s">
        <v>59</v>
      </c>
      <c r="AR1" s="20"/>
      <c r="AS1" s="9" t="s">
        <v>68</v>
      </c>
      <c r="AT1" s="9"/>
      <c r="AU1" s="21" t="s">
        <v>61</v>
      </c>
      <c r="AV1" s="21" t="s">
        <v>62</v>
      </c>
      <c r="AW1" s="21" t="s">
        <v>69</v>
      </c>
      <c r="AX1" s="21" t="s">
        <v>70</v>
      </c>
      <c r="AY1" s="21" t="s">
        <v>71</v>
      </c>
      <c r="AZ1" s="21" t="s">
        <v>73</v>
      </c>
      <c r="BA1" s="21" t="s">
        <v>74</v>
      </c>
      <c r="BB1" s="21" t="s">
        <v>72</v>
      </c>
      <c r="BC1" s="21" t="s">
        <v>76</v>
      </c>
      <c r="BD1" s="21" t="s">
        <v>75</v>
      </c>
      <c r="BE1" s="21"/>
      <c r="BF1" s="9" t="s">
        <v>63</v>
      </c>
      <c r="BG1" s="9" t="s">
        <v>64</v>
      </c>
      <c r="BH1" s="9" t="s">
        <v>65</v>
      </c>
      <c r="BI1" s="9" t="s">
        <v>66</v>
      </c>
      <c r="BJ1" s="9" t="s">
        <v>67</v>
      </c>
      <c r="BK1" s="9"/>
      <c r="BL1" s="27" t="s">
        <v>83</v>
      </c>
      <c r="BM1" s="27" t="s">
        <v>82</v>
      </c>
      <c r="BN1" s="27" t="s">
        <v>80</v>
      </c>
      <c r="BO1" s="27" t="s">
        <v>81</v>
      </c>
      <c r="BP1" s="27" t="s">
        <v>84</v>
      </c>
      <c r="BQ1" s="27" t="s">
        <v>85</v>
      </c>
      <c r="BR1" s="27" t="s">
        <v>86</v>
      </c>
      <c r="BS1" s="27" t="s">
        <v>87</v>
      </c>
      <c r="BT1" s="9"/>
      <c r="BU1" s="19" t="s">
        <v>88</v>
      </c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H1" s="27"/>
      <c r="CI1" s="27"/>
      <c r="CJ1" s="27"/>
      <c r="CK1" s="27"/>
      <c r="CL1" s="27"/>
      <c r="CM1" s="27"/>
      <c r="CN1" s="27"/>
      <c r="CO1" s="27"/>
    </row>
    <row r="2" spans="1:93" x14ac:dyDescent="0.3">
      <c r="A2" s="3" t="s">
        <v>16</v>
      </c>
      <c r="B2" s="2" t="s">
        <v>17</v>
      </c>
      <c r="C2" s="3">
        <v>66</v>
      </c>
      <c r="D2" s="2">
        <v>20.14</v>
      </c>
      <c r="E2" s="2">
        <v>40</v>
      </c>
      <c r="F2" s="2">
        <v>36</v>
      </c>
      <c r="G2" s="2">
        <v>71</v>
      </c>
      <c r="H2" s="2">
        <v>0.53</v>
      </c>
      <c r="I2" s="2">
        <v>7</v>
      </c>
      <c r="J2" s="2">
        <v>4.5999999999999996</v>
      </c>
      <c r="K2" s="2"/>
      <c r="L2" s="2"/>
      <c r="M2" s="2">
        <v>150</v>
      </c>
      <c r="N2" s="1"/>
      <c r="O2" s="1"/>
      <c r="P2" s="1"/>
      <c r="Q2" s="2">
        <v>126</v>
      </c>
      <c r="R2" s="2"/>
      <c r="S2" s="2"/>
      <c r="T2" s="2">
        <v>17.399999999999999</v>
      </c>
      <c r="U2" s="2">
        <v>0.71</v>
      </c>
      <c r="V2" s="2"/>
      <c r="W2" s="2"/>
      <c r="X2" s="2">
        <v>73</v>
      </c>
      <c r="Y2" s="2"/>
      <c r="Z2" s="2"/>
      <c r="AA2" s="5">
        <v>6.8999999999999999E-3</v>
      </c>
      <c r="AB2" s="6">
        <v>6.7100000000000007E-2</v>
      </c>
      <c r="AC2" s="5">
        <v>2.1000000000000001E-2</v>
      </c>
      <c r="AD2" s="5">
        <v>3.04E-2</v>
      </c>
      <c r="AE2" s="5">
        <v>8.6E-3</v>
      </c>
      <c r="AF2" s="5">
        <v>0.625</v>
      </c>
      <c r="AG2" s="5"/>
      <c r="AS2" s="10">
        <v>0.253</v>
      </c>
      <c r="AT2" s="10"/>
      <c r="BF2" s="5">
        <v>0.84199999999999997</v>
      </c>
      <c r="BG2" s="5">
        <v>1.7999999999999999E-2</v>
      </c>
      <c r="BH2" s="5">
        <v>1.0800000000000001E-2</v>
      </c>
      <c r="BI2" s="5">
        <v>0.104</v>
      </c>
      <c r="BJ2" s="5">
        <v>2.52E-2</v>
      </c>
      <c r="BK2" s="5"/>
      <c r="BL2">
        <v>49.2</v>
      </c>
      <c r="BM2">
        <v>15</v>
      </c>
      <c r="BN2">
        <v>21</v>
      </c>
      <c r="BO2">
        <v>14.7</v>
      </c>
      <c r="BP2">
        <v>18.2</v>
      </c>
      <c r="BQ2">
        <v>22.7</v>
      </c>
      <c r="BR2">
        <v>19.2</v>
      </c>
      <c r="BS2">
        <v>10.8</v>
      </c>
      <c r="BT2" s="5"/>
      <c r="BU2" s="2">
        <v>126</v>
      </c>
    </row>
    <row r="3" spans="1:93" x14ac:dyDescent="0.3">
      <c r="A3" s="3" t="s">
        <v>18</v>
      </c>
      <c r="B3" s="2" t="s">
        <v>19</v>
      </c>
      <c r="C3" s="3">
        <v>78</v>
      </c>
      <c r="D3" s="2">
        <v>24.54</v>
      </c>
      <c r="E3" s="2">
        <v>36</v>
      </c>
      <c r="F3" s="2">
        <v>26</v>
      </c>
      <c r="G3" s="2">
        <v>75</v>
      </c>
      <c r="H3" s="2">
        <v>1.32</v>
      </c>
      <c r="I3" s="2">
        <v>7.5</v>
      </c>
      <c r="J3" s="2">
        <v>4.3</v>
      </c>
      <c r="K3" s="2"/>
      <c r="L3" s="2"/>
      <c r="M3" s="2">
        <v>134</v>
      </c>
      <c r="N3" s="1"/>
      <c r="O3" s="1"/>
      <c r="P3" s="1"/>
      <c r="Q3" s="2">
        <v>101</v>
      </c>
      <c r="R3" s="2"/>
      <c r="S3" s="2"/>
      <c r="T3" s="2">
        <v>17</v>
      </c>
      <c r="U3" s="2">
        <v>0.96</v>
      </c>
      <c r="V3" s="2"/>
      <c r="W3" s="2"/>
      <c r="X3" s="2">
        <v>51</v>
      </c>
      <c r="Y3" s="2"/>
      <c r="Z3" s="2"/>
      <c r="AA3" s="5">
        <v>0.21099999999999999</v>
      </c>
      <c r="AB3" s="6">
        <v>6.2600000000000003E-2</v>
      </c>
      <c r="AC3" s="5">
        <v>3.9800000000000002E-2</v>
      </c>
      <c r="AD3" s="5">
        <v>1.9599999999999999E-2</v>
      </c>
      <c r="AE3" s="5">
        <v>7.7999999999999996E-3</v>
      </c>
      <c r="AF3" s="5">
        <v>0.56200000000000006</v>
      </c>
      <c r="AG3" s="5"/>
      <c r="AH3" s="5">
        <v>4.8099999999999997E-2</v>
      </c>
      <c r="AI3" s="5">
        <v>2.4E-2</v>
      </c>
      <c r="AJ3" s="5">
        <v>3.5999999999999999E-3</v>
      </c>
      <c r="AK3" s="5">
        <v>8.8000000000000005E-3</v>
      </c>
      <c r="AL3" s="12">
        <f>100%-(AH3+AI3+AJ3+AK3)</f>
        <v>0.91549999999999998</v>
      </c>
      <c r="AM3" s="12"/>
      <c r="AN3" s="13">
        <v>0.5354000000000001</v>
      </c>
      <c r="AO3" s="13">
        <v>0.38600000000000001</v>
      </c>
      <c r="AP3" s="13">
        <v>1.3599999999999999E-2</v>
      </c>
      <c r="AQ3" s="13">
        <v>9.4999999999999998E-3</v>
      </c>
      <c r="AR3" s="13"/>
      <c r="AS3" s="10">
        <v>0.40949999999999998</v>
      </c>
      <c r="AT3" s="10"/>
      <c r="AU3" s="5">
        <v>0.70299999999999996</v>
      </c>
      <c r="AV3" s="5">
        <v>0.60799999999999998</v>
      </c>
      <c r="AW3" s="5">
        <v>0.64400000000000002</v>
      </c>
      <c r="AX3" s="5">
        <v>0.222</v>
      </c>
      <c r="AY3" s="5">
        <v>0.33100000000000002</v>
      </c>
      <c r="AZ3" s="5">
        <v>0.33300000000000002</v>
      </c>
      <c r="BA3" s="8">
        <v>0.67600000000000005</v>
      </c>
      <c r="BB3" s="5">
        <v>0.627</v>
      </c>
      <c r="BC3" s="5">
        <v>0.46</v>
      </c>
      <c r="BD3" s="22">
        <v>0.68200000000000005</v>
      </c>
      <c r="BE3" s="22"/>
      <c r="BF3" s="5">
        <v>0.97699999999999998</v>
      </c>
      <c r="BG3" s="5">
        <v>3.8999999999999998E-3</v>
      </c>
      <c r="BH3" s="5">
        <v>2.3999999999999998E-3</v>
      </c>
      <c r="BI3" s="5">
        <v>3.0000000000000001E-3</v>
      </c>
      <c r="BJ3" s="5">
        <v>1.18E-2</v>
      </c>
      <c r="BK3" s="5"/>
      <c r="BL3">
        <v>61.6</v>
      </c>
      <c r="BM3">
        <v>23.9</v>
      </c>
      <c r="BN3">
        <v>6.04</v>
      </c>
      <c r="BO3">
        <v>8.41</v>
      </c>
      <c r="BP3">
        <v>1.1499999999999999</v>
      </c>
      <c r="BQ3">
        <v>2.06</v>
      </c>
      <c r="BR3">
        <v>1.23</v>
      </c>
      <c r="BS3">
        <v>1.28</v>
      </c>
      <c r="BT3" s="5"/>
      <c r="BU3" s="2">
        <v>101</v>
      </c>
    </row>
    <row r="4" spans="1:93" x14ac:dyDescent="0.3">
      <c r="A4" s="3" t="s">
        <v>20</v>
      </c>
      <c r="B4" s="2" t="s">
        <v>19</v>
      </c>
      <c r="C4" s="3">
        <v>47</v>
      </c>
      <c r="D4" s="2">
        <v>24.89</v>
      </c>
      <c r="E4" s="2">
        <v>22</v>
      </c>
      <c r="F4" s="2">
        <v>13</v>
      </c>
      <c r="G4" s="2">
        <v>65</v>
      </c>
      <c r="H4" s="2">
        <v>0.41</v>
      </c>
      <c r="I4" s="2">
        <v>6.8</v>
      </c>
      <c r="J4" s="2">
        <v>4.5999999999999996</v>
      </c>
      <c r="K4" s="2"/>
      <c r="L4" s="2"/>
      <c r="M4" s="2">
        <v>222</v>
      </c>
      <c r="N4" s="1"/>
      <c r="O4" s="1"/>
      <c r="P4" s="1"/>
      <c r="Q4" s="2">
        <v>111</v>
      </c>
      <c r="R4" s="2"/>
      <c r="S4" s="2"/>
      <c r="T4" s="2">
        <v>20.8</v>
      </c>
      <c r="U4" s="2">
        <v>0.78</v>
      </c>
      <c r="V4" s="2"/>
      <c r="W4" s="2"/>
      <c r="X4" s="2">
        <v>67</v>
      </c>
      <c r="Y4" s="2">
        <v>0.52</v>
      </c>
      <c r="Z4" s="2"/>
      <c r="AA4" s="5">
        <v>7.4999999999999997E-3</v>
      </c>
      <c r="AB4" s="6">
        <v>6.8599999999999994E-2</v>
      </c>
      <c r="AC4" s="5">
        <v>2.2200000000000001E-2</v>
      </c>
      <c r="AD4" s="5">
        <v>0.311</v>
      </c>
      <c r="AE4" s="5">
        <v>2.4799999999999999E-2</v>
      </c>
      <c r="AF4" s="5">
        <v>0.40400000000000003</v>
      </c>
      <c r="AG4" s="5"/>
      <c r="AL4" s="12"/>
      <c r="AM4" s="12"/>
      <c r="AS4" s="10">
        <v>0.155</v>
      </c>
      <c r="AT4" s="10"/>
      <c r="AU4" s="5"/>
      <c r="AV4" s="5"/>
      <c r="AW4" s="5"/>
      <c r="AX4" s="5"/>
      <c r="AY4" s="5"/>
      <c r="AZ4" s="5"/>
      <c r="BA4" s="8"/>
      <c r="BB4" s="5"/>
      <c r="BC4" s="5"/>
      <c r="BD4" s="22"/>
      <c r="BE4" s="22"/>
      <c r="BF4" s="5">
        <v>0.90600000000000003</v>
      </c>
      <c r="BG4" s="11">
        <v>0</v>
      </c>
      <c r="BH4" s="5">
        <v>2.3400000000000001E-2</v>
      </c>
      <c r="BI4" s="5">
        <v>5.5100000000000003E-2</v>
      </c>
      <c r="BJ4" s="5">
        <v>1.55E-2</v>
      </c>
      <c r="BK4" s="5"/>
      <c r="BL4">
        <v>67.5</v>
      </c>
      <c r="BM4">
        <v>12.9</v>
      </c>
      <c r="BN4">
        <v>6.2799999999999994</v>
      </c>
      <c r="BO4">
        <v>13.3</v>
      </c>
      <c r="BP4">
        <v>5.9700000000000006</v>
      </c>
      <c r="BQ4">
        <v>8.83</v>
      </c>
      <c r="BR4">
        <v>12.6</v>
      </c>
      <c r="BS4">
        <v>2.02</v>
      </c>
      <c r="BT4" s="5"/>
      <c r="BU4" s="2">
        <v>111</v>
      </c>
    </row>
    <row r="5" spans="1:93" x14ac:dyDescent="0.3">
      <c r="A5" s="3" t="s">
        <v>21</v>
      </c>
      <c r="B5" s="2" t="s">
        <v>17</v>
      </c>
      <c r="C5" s="3">
        <v>66</v>
      </c>
      <c r="D5" s="2">
        <v>25.29</v>
      </c>
      <c r="E5" s="2">
        <v>28</v>
      </c>
      <c r="F5" s="2">
        <v>16</v>
      </c>
      <c r="G5" s="2">
        <v>81</v>
      </c>
      <c r="H5" s="2">
        <v>0.72</v>
      </c>
      <c r="I5" s="2">
        <v>6.8</v>
      </c>
      <c r="J5" s="2">
        <v>4.5</v>
      </c>
      <c r="K5" s="2"/>
      <c r="L5" s="2"/>
      <c r="M5" s="2">
        <v>180</v>
      </c>
      <c r="N5" s="1"/>
      <c r="O5" s="1"/>
      <c r="P5" s="1"/>
      <c r="Q5" s="2">
        <v>93</v>
      </c>
      <c r="R5" s="2"/>
      <c r="S5" s="2"/>
      <c r="T5" s="2">
        <v>18.2</v>
      </c>
      <c r="U5" s="2">
        <v>0.72</v>
      </c>
      <c r="V5" s="2"/>
      <c r="W5" s="2"/>
      <c r="X5" s="2">
        <v>61</v>
      </c>
      <c r="Y5" s="2">
        <v>1.17</v>
      </c>
      <c r="Z5" s="2"/>
      <c r="AA5" s="5">
        <v>8.8000000000000005E-3</v>
      </c>
      <c r="AB5" s="6">
        <v>5.1200000000000002E-2</v>
      </c>
      <c r="AC5" s="5">
        <v>1.9800000000000002E-2</v>
      </c>
      <c r="AD5" s="5">
        <v>1.5100000000000001E-2</v>
      </c>
      <c r="AE5" s="5">
        <v>8.0000000000000002E-3</v>
      </c>
      <c r="AF5" s="5">
        <v>0.67500000000000004</v>
      </c>
      <c r="AG5" s="5"/>
      <c r="AL5" s="12"/>
      <c r="AM5" s="12"/>
      <c r="AS5" s="10">
        <v>0.39400000000000002</v>
      </c>
      <c r="AT5" s="10"/>
      <c r="AU5" s="5"/>
      <c r="AV5" s="5"/>
      <c r="AW5" s="5"/>
      <c r="AX5" s="5"/>
      <c r="AY5" s="5"/>
      <c r="AZ5" s="5"/>
      <c r="BA5" s="8"/>
      <c r="BB5" s="5"/>
      <c r="BC5" s="5"/>
      <c r="BD5" s="22"/>
      <c r="BE5" s="22"/>
      <c r="BF5" s="5">
        <v>0.92300000000000004</v>
      </c>
      <c r="BG5" s="5">
        <v>7.0000000000000001E-3</v>
      </c>
      <c r="BH5" s="5">
        <v>7.0000000000000001E-3</v>
      </c>
      <c r="BI5" s="5">
        <v>3.8399999999999997E-2</v>
      </c>
      <c r="BJ5" s="5">
        <v>2.0899999999999998E-2</v>
      </c>
      <c r="BK5" s="5"/>
      <c r="BL5">
        <v>53.6</v>
      </c>
      <c r="BM5">
        <v>19</v>
      </c>
      <c r="BN5">
        <v>19</v>
      </c>
      <c r="BO5">
        <v>8.4</v>
      </c>
      <c r="BP5">
        <v>6.660000000000001</v>
      </c>
      <c r="BQ5">
        <v>11.1</v>
      </c>
      <c r="BR5">
        <v>12.8</v>
      </c>
      <c r="BS5">
        <v>3.81</v>
      </c>
      <c r="BT5" s="5"/>
      <c r="BU5" s="2">
        <v>93</v>
      </c>
    </row>
    <row r="6" spans="1:93" x14ac:dyDescent="0.3">
      <c r="A6" s="3" t="s">
        <v>22</v>
      </c>
      <c r="B6" s="2" t="s">
        <v>19</v>
      </c>
      <c r="C6" s="3">
        <v>66</v>
      </c>
      <c r="D6" s="2">
        <v>21.59</v>
      </c>
      <c r="E6" s="2">
        <v>28</v>
      </c>
      <c r="F6" s="2">
        <v>21</v>
      </c>
      <c r="G6" s="2">
        <v>51</v>
      </c>
      <c r="H6" s="2">
        <v>1.1000000000000001</v>
      </c>
      <c r="I6" s="2">
        <v>6.9</v>
      </c>
      <c r="J6" s="2">
        <v>4.2</v>
      </c>
      <c r="K6" s="2"/>
      <c r="L6" s="2"/>
      <c r="M6" s="2">
        <v>148</v>
      </c>
      <c r="N6" s="1"/>
      <c r="O6" s="1"/>
      <c r="P6" s="1"/>
      <c r="Q6" s="2">
        <v>93</v>
      </c>
      <c r="R6" s="2"/>
      <c r="S6" s="2"/>
      <c r="T6" s="2">
        <v>12.2</v>
      </c>
      <c r="U6" s="2">
        <v>1</v>
      </c>
      <c r="V6" s="2"/>
      <c r="W6" s="2"/>
      <c r="X6" s="2">
        <v>39</v>
      </c>
      <c r="Y6" s="2">
        <v>0.18</v>
      </c>
      <c r="Z6" s="2"/>
      <c r="AA6" s="5">
        <v>5.6899999999999999E-2</v>
      </c>
      <c r="AB6" s="6">
        <v>5.3600000000000002E-2</v>
      </c>
      <c r="AC6" s="5">
        <v>2.0500000000000001E-2</v>
      </c>
      <c r="AD6" s="5">
        <v>3.2000000000000001E-2</v>
      </c>
      <c r="AE6" s="5">
        <v>2.6200000000000001E-2</v>
      </c>
      <c r="AF6" s="5">
        <v>0.73</v>
      </c>
      <c r="AG6" s="5"/>
      <c r="AH6" s="13">
        <v>2.63E-2</v>
      </c>
      <c r="AI6" s="13">
        <v>0.03</v>
      </c>
      <c r="AJ6" s="13">
        <v>1.2999999999999999E-3</v>
      </c>
      <c r="AK6" s="13">
        <v>8.3000000000000001E-3</v>
      </c>
      <c r="AL6" s="12">
        <f t="shared" ref="AL6:AL21" si="0">100%-(AH6+AI6+AJ6+AK6)</f>
        <v>0.93410000000000004</v>
      </c>
      <c r="AM6" s="12"/>
      <c r="AN6" s="13">
        <v>0.50209999999999999</v>
      </c>
      <c r="AO6" s="13">
        <v>0.435</v>
      </c>
      <c r="AP6" s="13">
        <v>8.8999999999999999E-3</v>
      </c>
      <c r="AQ6" s="13">
        <v>8.5000000000000006E-3</v>
      </c>
      <c r="AR6" s="13"/>
      <c r="AS6" s="10">
        <v>0.35549999999999998</v>
      </c>
      <c r="AT6" s="10"/>
      <c r="AU6" s="5">
        <v>0.29899999999999999</v>
      </c>
      <c r="AV6" s="5">
        <v>0.16</v>
      </c>
      <c r="AW6" s="5">
        <v>0.247</v>
      </c>
      <c r="AX6" s="5">
        <v>0.316</v>
      </c>
      <c r="AY6" s="5">
        <v>9.8299999999999998E-2</v>
      </c>
      <c r="AZ6" s="5">
        <v>3.04E-2</v>
      </c>
      <c r="BA6" s="8">
        <v>0.20499999999999999</v>
      </c>
      <c r="BB6" s="5">
        <v>0.222</v>
      </c>
      <c r="BC6" s="5">
        <v>0.28599999999999998</v>
      </c>
      <c r="BD6" s="22">
        <v>0.312</v>
      </c>
      <c r="BE6" s="22"/>
      <c r="BF6" s="5">
        <v>0.91900000000000004</v>
      </c>
      <c r="BG6" s="5">
        <v>1.04E-2</v>
      </c>
      <c r="BH6" s="5">
        <v>7.1000000000000004E-3</v>
      </c>
      <c r="BI6" s="5">
        <v>2.86E-2</v>
      </c>
      <c r="BJ6" s="5">
        <v>2.75E-2</v>
      </c>
      <c r="BK6" s="5"/>
      <c r="BL6">
        <v>61.5</v>
      </c>
      <c r="BM6">
        <v>27</v>
      </c>
      <c r="BN6">
        <v>0.97</v>
      </c>
      <c r="BO6">
        <v>10.5</v>
      </c>
      <c r="BP6">
        <v>2.56</v>
      </c>
      <c r="BQ6">
        <v>6.83</v>
      </c>
      <c r="BR6">
        <v>2.1999999999999997</v>
      </c>
      <c r="BS6">
        <v>3.17</v>
      </c>
      <c r="BT6" s="5"/>
      <c r="BU6" s="2">
        <v>93</v>
      </c>
    </row>
    <row r="7" spans="1:93" x14ac:dyDescent="0.3">
      <c r="A7" s="3" t="s">
        <v>23</v>
      </c>
      <c r="B7" s="2" t="s">
        <v>19</v>
      </c>
      <c r="C7" s="3">
        <v>51</v>
      </c>
      <c r="D7" s="2">
        <v>24.94</v>
      </c>
      <c r="E7" s="2">
        <v>47</v>
      </c>
      <c r="F7" s="2">
        <v>23</v>
      </c>
      <c r="G7" s="2">
        <v>40</v>
      </c>
      <c r="H7" s="2">
        <v>0.39</v>
      </c>
      <c r="I7" s="2">
        <v>7.5</v>
      </c>
      <c r="J7" s="2">
        <v>4.9000000000000004</v>
      </c>
      <c r="K7" s="2"/>
      <c r="L7" s="2"/>
      <c r="M7" s="2">
        <v>138</v>
      </c>
      <c r="N7" s="1"/>
      <c r="O7" s="1"/>
      <c r="P7" s="1"/>
      <c r="Q7" s="2">
        <v>108</v>
      </c>
      <c r="R7" s="2"/>
      <c r="S7" s="2"/>
      <c r="T7" s="2">
        <v>13.2</v>
      </c>
      <c r="U7" s="2">
        <v>1.03</v>
      </c>
      <c r="V7" s="2"/>
      <c r="W7" s="2"/>
      <c r="X7" s="2">
        <v>97</v>
      </c>
      <c r="Y7" s="2">
        <v>1.0900000000000001</v>
      </c>
      <c r="Z7" s="2"/>
      <c r="AA7" s="7">
        <v>4.2999999999999997E-2</v>
      </c>
      <c r="AB7" s="6">
        <v>0.29699999999999999</v>
      </c>
      <c r="AC7" s="5">
        <v>6.2600000000000003E-2</v>
      </c>
      <c r="AD7" s="5">
        <v>6.2799999999999995E-2</v>
      </c>
      <c r="AE7" s="5">
        <v>1.4999999999999999E-2</v>
      </c>
      <c r="AF7" s="5">
        <v>0.43</v>
      </c>
      <c r="AG7" s="5"/>
      <c r="AH7" s="13">
        <v>0.107</v>
      </c>
      <c r="AI7" s="13">
        <v>5.1700000000000003E-2</v>
      </c>
      <c r="AJ7" s="13">
        <v>9.7999999999999997E-3</v>
      </c>
      <c r="AK7" s="13">
        <v>2.0299999999999999E-2</v>
      </c>
      <c r="AL7" s="12">
        <f t="shared" si="0"/>
        <v>0.81119999999999992</v>
      </c>
      <c r="AM7" s="12"/>
      <c r="AN7" s="5">
        <v>0.33039999999999997</v>
      </c>
      <c r="AO7" s="5">
        <v>0.58499999999999996</v>
      </c>
      <c r="AP7" s="5">
        <v>1.66E-2</v>
      </c>
      <c r="AQ7" s="5">
        <v>5.3E-3</v>
      </c>
      <c r="AR7" s="5"/>
      <c r="AS7" s="10">
        <v>0.3725</v>
      </c>
      <c r="AT7" s="10"/>
      <c r="AU7" s="5">
        <v>0.66500000000000004</v>
      </c>
      <c r="AV7" s="5">
        <v>0.61699999999999999</v>
      </c>
      <c r="AW7" s="5">
        <v>0.40699999999999997</v>
      </c>
      <c r="AX7" s="5">
        <v>0.45500000000000002</v>
      </c>
      <c r="AY7" s="10">
        <v>0.70199999999999996</v>
      </c>
      <c r="AZ7" s="5">
        <v>0.186</v>
      </c>
      <c r="BA7" s="8">
        <v>0.45700000000000002</v>
      </c>
      <c r="BB7" s="5">
        <v>0.28100000000000003</v>
      </c>
      <c r="BC7" s="5">
        <v>9.9099999999999994E-2</v>
      </c>
      <c r="BD7" s="22">
        <v>0.58799999999999997</v>
      </c>
      <c r="BE7" s="22"/>
      <c r="BF7" s="5">
        <v>0.89200000000000002</v>
      </c>
      <c r="BG7" s="5">
        <v>1.7899999999999999E-2</v>
      </c>
      <c r="BH7" s="5">
        <v>4.4999999999999997E-3</v>
      </c>
      <c r="BI7" s="5">
        <v>5.9400000000000001E-2</v>
      </c>
      <c r="BJ7" s="5">
        <v>1.5699999999999999E-2</v>
      </c>
      <c r="BK7" s="5"/>
      <c r="BL7">
        <v>64.900000000000006</v>
      </c>
      <c r="BM7">
        <v>23.7</v>
      </c>
      <c r="BN7">
        <v>2.64</v>
      </c>
      <c r="BO7">
        <v>8.76</v>
      </c>
      <c r="BP7">
        <v>5.25</v>
      </c>
      <c r="BQ7">
        <v>14.6</v>
      </c>
      <c r="BR7">
        <v>13.4</v>
      </c>
      <c r="BS7">
        <v>3.05</v>
      </c>
      <c r="BT7" s="5"/>
      <c r="BU7" s="2">
        <v>108</v>
      </c>
    </row>
    <row r="8" spans="1:93" x14ac:dyDescent="0.3">
      <c r="A8" s="3" t="s">
        <v>24</v>
      </c>
      <c r="B8" s="2" t="s">
        <v>17</v>
      </c>
      <c r="C8" s="3">
        <v>42</v>
      </c>
      <c r="D8" s="2">
        <v>26.59</v>
      </c>
      <c r="E8" s="2">
        <v>16</v>
      </c>
      <c r="F8" s="2">
        <v>10</v>
      </c>
      <c r="G8" s="2">
        <v>64</v>
      </c>
      <c r="H8" s="2">
        <v>0.47</v>
      </c>
      <c r="I8" s="2">
        <v>6.9</v>
      </c>
      <c r="J8" s="2">
        <v>4.3</v>
      </c>
      <c r="K8" s="2"/>
      <c r="L8" s="2"/>
      <c r="M8" s="2">
        <v>187</v>
      </c>
      <c r="N8" s="1"/>
      <c r="O8" s="1"/>
      <c r="P8" s="1"/>
      <c r="Q8" s="2">
        <v>97</v>
      </c>
      <c r="R8" s="2"/>
      <c r="S8" s="2"/>
      <c r="T8" s="2">
        <v>15.9</v>
      </c>
      <c r="U8" s="2">
        <v>0.75</v>
      </c>
      <c r="V8" s="2"/>
      <c r="W8" s="2"/>
      <c r="X8" s="2">
        <v>56</v>
      </c>
      <c r="Y8" s="2">
        <v>1.28</v>
      </c>
      <c r="Z8" s="2"/>
      <c r="AA8" s="5">
        <v>0.22900000000000001</v>
      </c>
      <c r="AB8" s="6">
        <v>1.14E-2</v>
      </c>
      <c r="AC8" s="5">
        <v>2.01E-2</v>
      </c>
      <c r="AD8" s="5">
        <v>3.2599999999999997E-2</v>
      </c>
      <c r="AE8" s="5">
        <v>1.3899999999999999E-2</v>
      </c>
      <c r="AF8" s="5">
        <v>0.64400000000000002</v>
      </c>
      <c r="AG8" s="5"/>
      <c r="AH8" s="13">
        <v>5.1499999999999997E-2</v>
      </c>
      <c r="AI8" s="13">
        <v>7.7700000000000005E-2</v>
      </c>
      <c r="AJ8" s="13">
        <v>2.7000000000000001E-3</v>
      </c>
      <c r="AK8" s="13">
        <v>4.48E-2</v>
      </c>
      <c r="AL8" s="12">
        <f t="shared" si="0"/>
        <v>0.82329999999999992</v>
      </c>
      <c r="AM8" s="12"/>
      <c r="AN8" s="13">
        <v>0.21230000000000002</v>
      </c>
      <c r="AO8" s="13">
        <v>0.66700000000000004</v>
      </c>
      <c r="AP8" s="13">
        <v>5.1700000000000003E-2</v>
      </c>
      <c r="AQ8" s="13">
        <v>5.3100000000000001E-2</v>
      </c>
      <c r="AR8" s="13"/>
      <c r="AS8" s="10">
        <v>0.42649999999999999</v>
      </c>
      <c r="AT8" s="10"/>
      <c r="AU8" s="5">
        <v>0.74199999999999999</v>
      </c>
      <c r="AV8" s="5">
        <v>0.54100000000000004</v>
      </c>
      <c r="AW8" s="5">
        <v>0.252</v>
      </c>
      <c r="AX8" s="15">
        <v>0.71899999999999997</v>
      </c>
      <c r="AY8" s="10">
        <v>0.21099999999999999</v>
      </c>
      <c r="AZ8" s="5">
        <v>0.24199999999999999</v>
      </c>
      <c r="BA8" s="8">
        <v>0.61099999999999999</v>
      </c>
      <c r="BB8" s="5">
        <v>0.20200000000000001</v>
      </c>
      <c r="BC8" s="23">
        <v>0.375</v>
      </c>
      <c r="BD8" s="22">
        <v>0.35299999999999998</v>
      </c>
      <c r="BE8" s="22"/>
      <c r="BF8" s="5">
        <v>0.72499999999999998</v>
      </c>
      <c r="BG8" s="5">
        <v>0.246</v>
      </c>
      <c r="BH8" s="5">
        <v>4.5999999999999999E-3</v>
      </c>
      <c r="BI8" s="5">
        <v>1.43E-2</v>
      </c>
      <c r="BJ8" s="5">
        <v>9.1000000000000004E-3</v>
      </c>
      <c r="BK8" s="5"/>
      <c r="BL8">
        <v>45.2</v>
      </c>
      <c r="BM8">
        <v>36.1</v>
      </c>
      <c r="BN8">
        <v>7.2900000000000009</v>
      </c>
      <c r="BO8">
        <v>11.1</v>
      </c>
      <c r="BP8">
        <v>1.04</v>
      </c>
      <c r="BQ8">
        <v>11</v>
      </c>
      <c r="BR8">
        <v>12.1</v>
      </c>
      <c r="BS8">
        <v>0.41000000000000003</v>
      </c>
      <c r="BT8" s="5"/>
      <c r="BU8" s="2">
        <v>97</v>
      </c>
    </row>
    <row r="9" spans="1:93" x14ac:dyDescent="0.3">
      <c r="A9" s="3" t="s">
        <v>25</v>
      </c>
      <c r="B9" s="2" t="s">
        <v>17</v>
      </c>
      <c r="C9" s="3">
        <v>45</v>
      </c>
      <c r="D9" s="2">
        <v>27.9</v>
      </c>
      <c r="E9" s="2">
        <v>12</v>
      </c>
      <c r="F9" s="2">
        <v>7</v>
      </c>
      <c r="G9" s="2">
        <v>39</v>
      </c>
      <c r="H9" s="2">
        <v>0.94</v>
      </c>
      <c r="I9" s="2">
        <v>6.1</v>
      </c>
      <c r="J9" s="2">
        <v>3.9</v>
      </c>
      <c r="K9" s="2"/>
      <c r="L9" s="2"/>
      <c r="M9" s="2">
        <v>192</v>
      </c>
      <c r="N9" s="1"/>
      <c r="O9" s="1"/>
      <c r="P9" s="1"/>
      <c r="Q9" s="2">
        <v>112</v>
      </c>
      <c r="R9" s="2"/>
      <c r="S9" s="2"/>
      <c r="T9" s="2">
        <v>10.4</v>
      </c>
      <c r="U9" s="2">
        <v>0.52</v>
      </c>
      <c r="V9" s="2"/>
      <c r="W9" s="2"/>
      <c r="X9" s="2">
        <v>34</v>
      </c>
      <c r="Y9" s="2">
        <v>1.26</v>
      </c>
      <c r="Z9" s="2"/>
      <c r="AA9" s="5">
        <v>9.1000000000000004E-3</v>
      </c>
      <c r="AB9" s="6">
        <v>0.29899999999999999</v>
      </c>
      <c r="AC9" s="5">
        <v>7.0599999999999996E-2</v>
      </c>
      <c r="AD9" s="5">
        <v>9.74E-2</v>
      </c>
      <c r="AE9" s="5">
        <v>4.5900000000000003E-2</v>
      </c>
      <c r="AF9" s="5">
        <v>0.41499999999999998</v>
      </c>
      <c r="AG9" s="5"/>
      <c r="AH9" s="13">
        <v>6.2100000000000002E-2</v>
      </c>
      <c r="AI9" s="13">
        <v>0.125</v>
      </c>
      <c r="AJ9" s="13">
        <v>9.7000000000000003E-3</v>
      </c>
      <c r="AK9" s="13">
        <v>2.0799999999999999E-2</v>
      </c>
      <c r="AL9" s="12">
        <f t="shared" si="0"/>
        <v>0.78239999999999998</v>
      </c>
      <c r="AM9" s="12"/>
      <c r="AN9" s="13">
        <v>0.26859999999999995</v>
      </c>
      <c r="AO9" s="13">
        <v>0.56399999999999995</v>
      </c>
      <c r="AP9" s="13">
        <v>7.8399999999999997E-2</v>
      </c>
      <c r="AQ9" s="13">
        <v>5.2600000000000001E-2</v>
      </c>
      <c r="AR9" s="13"/>
      <c r="AS9" s="13">
        <v>0.23250000000000001</v>
      </c>
      <c r="AT9" s="13"/>
      <c r="AU9" s="5">
        <v>0.65500000000000003</v>
      </c>
      <c r="AV9" s="5">
        <v>0.624</v>
      </c>
      <c r="AW9" s="5">
        <v>0.54400000000000004</v>
      </c>
      <c r="AX9" s="10">
        <v>0.45800000000000002</v>
      </c>
      <c r="AY9" s="15">
        <v>0.92300000000000004</v>
      </c>
      <c r="AZ9" s="5">
        <v>0.4</v>
      </c>
      <c r="BA9" s="8">
        <v>0.84699999999999998</v>
      </c>
      <c r="BB9" s="5">
        <v>0.69599999999999995</v>
      </c>
      <c r="BC9" s="5">
        <v>0.81599999999999995</v>
      </c>
      <c r="BD9" s="22">
        <v>0.93300000000000005</v>
      </c>
      <c r="BE9" s="22"/>
      <c r="BF9" s="5">
        <v>0.64500000000000002</v>
      </c>
      <c r="BG9" s="5">
        <v>9.3899999999999997E-2</v>
      </c>
      <c r="BH9" s="5">
        <v>5.7099999999999998E-2</v>
      </c>
      <c r="BI9" s="5">
        <v>8.1600000000000006E-2</v>
      </c>
      <c r="BJ9" s="5">
        <v>0.122</v>
      </c>
      <c r="BK9" s="5"/>
      <c r="BL9">
        <v>33.4</v>
      </c>
      <c r="BM9">
        <v>59.699999999999996</v>
      </c>
      <c r="BN9">
        <v>4.17</v>
      </c>
      <c r="BO9">
        <v>2.7199999999999998</v>
      </c>
      <c r="BP9">
        <v>18.7</v>
      </c>
      <c r="BQ9">
        <v>21</v>
      </c>
      <c r="BR9">
        <v>9.6</v>
      </c>
      <c r="BS9">
        <v>17.7</v>
      </c>
      <c r="BT9" s="5"/>
      <c r="BU9" s="2">
        <v>112</v>
      </c>
    </row>
    <row r="10" spans="1:93" x14ac:dyDescent="0.3">
      <c r="A10" s="3" t="s">
        <v>26</v>
      </c>
      <c r="B10" s="2" t="s">
        <v>17</v>
      </c>
      <c r="C10" s="3">
        <v>65</v>
      </c>
      <c r="D10" s="2">
        <v>24.31</v>
      </c>
      <c r="E10" s="2">
        <v>19</v>
      </c>
      <c r="F10" s="2">
        <v>9</v>
      </c>
      <c r="G10" s="2">
        <v>95</v>
      </c>
      <c r="H10" s="2">
        <v>0.31</v>
      </c>
      <c r="I10" s="2">
        <v>7.3</v>
      </c>
      <c r="J10" s="2">
        <v>4.7</v>
      </c>
      <c r="K10" s="2"/>
      <c r="L10" s="2"/>
      <c r="M10" s="2">
        <v>152</v>
      </c>
      <c r="N10" s="1"/>
      <c r="O10" s="1"/>
      <c r="P10" s="1"/>
      <c r="Q10" s="2">
        <v>109</v>
      </c>
      <c r="R10" s="2"/>
      <c r="S10" s="2"/>
      <c r="T10" s="2">
        <v>13</v>
      </c>
      <c r="U10" s="2">
        <v>0.6</v>
      </c>
      <c r="V10" s="2"/>
      <c r="W10" s="2"/>
      <c r="X10" s="2">
        <v>62</v>
      </c>
      <c r="Y10" s="2">
        <v>0.37</v>
      </c>
      <c r="Z10" s="2"/>
      <c r="AA10" s="7">
        <v>1.2800000000000001E-2</v>
      </c>
      <c r="AB10" s="6">
        <v>9.7799999999999998E-2</v>
      </c>
      <c r="AC10" s="5">
        <v>2.3300000000000001E-2</v>
      </c>
      <c r="AD10" s="5">
        <v>3.1800000000000002E-2</v>
      </c>
      <c r="AE10" s="5">
        <v>0.113</v>
      </c>
      <c r="AF10" s="5">
        <v>0.61499999999999999</v>
      </c>
      <c r="AG10" s="5"/>
      <c r="AH10" s="13">
        <v>0.124</v>
      </c>
      <c r="AI10" s="13">
        <v>6.7900000000000002E-2</v>
      </c>
      <c r="AJ10" s="13">
        <v>2.3699999999999999E-2</v>
      </c>
      <c r="AK10" s="13">
        <v>0.112</v>
      </c>
      <c r="AL10" s="12">
        <f t="shared" si="0"/>
        <v>0.6724</v>
      </c>
      <c r="AM10" s="12"/>
      <c r="AN10" s="13">
        <v>0.38700000000000001</v>
      </c>
      <c r="AO10" s="13">
        <v>0.39500000000000002</v>
      </c>
      <c r="AP10" s="13">
        <v>0.104</v>
      </c>
      <c r="AQ10" s="13">
        <v>7.9600000000000004E-2</v>
      </c>
      <c r="AR10" s="13"/>
      <c r="AS10" s="10">
        <v>0.39450000000000002</v>
      </c>
      <c r="AT10" s="10"/>
      <c r="AU10" s="5">
        <v>0.36799999999999999</v>
      </c>
      <c r="AV10" s="5">
        <v>0.27</v>
      </c>
      <c r="AW10" s="5">
        <v>0.36699999999999999</v>
      </c>
      <c r="AX10" s="10">
        <v>0.20599999999999999</v>
      </c>
      <c r="AY10" s="10">
        <v>0.155</v>
      </c>
      <c r="AZ10" s="5">
        <v>0.13600000000000001</v>
      </c>
      <c r="BA10" s="8">
        <v>0.33100000000000002</v>
      </c>
      <c r="BB10" s="5">
        <v>0.27400000000000002</v>
      </c>
      <c r="BC10" s="5">
        <v>0.27800000000000002</v>
      </c>
      <c r="BD10" s="22">
        <v>0.216</v>
      </c>
      <c r="BE10" s="22"/>
      <c r="BF10" s="5">
        <v>0.66</v>
      </c>
      <c r="BG10" s="5">
        <v>6.6600000000000006E-2</v>
      </c>
      <c r="BH10" s="5">
        <v>6.9000000000000006E-2</v>
      </c>
      <c r="BI10" s="5">
        <v>0.114</v>
      </c>
      <c r="BJ10" s="5">
        <v>7.3800000000000004E-2</v>
      </c>
      <c r="BK10" s="5"/>
      <c r="BL10">
        <v>44.9</v>
      </c>
      <c r="BM10">
        <v>39.5</v>
      </c>
      <c r="BN10">
        <v>10.4</v>
      </c>
      <c r="BO10">
        <v>5.2</v>
      </c>
      <c r="BP10">
        <v>2.85</v>
      </c>
      <c r="BQ10">
        <v>5.25</v>
      </c>
      <c r="BR10">
        <v>2.0500000000000003</v>
      </c>
      <c r="BS10">
        <v>2.27</v>
      </c>
      <c r="BT10" s="5"/>
      <c r="BU10" s="2">
        <v>109</v>
      </c>
    </row>
    <row r="11" spans="1:93" x14ac:dyDescent="0.3">
      <c r="A11" s="3" t="s">
        <v>27</v>
      </c>
      <c r="B11" s="2" t="s">
        <v>17</v>
      </c>
      <c r="C11" s="3">
        <v>61</v>
      </c>
      <c r="D11" s="2">
        <v>22.25</v>
      </c>
      <c r="E11" s="2">
        <v>27</v>
      </c>
      <c r="F11" s="2">
        <v>18</v>
      </c>
      <c r="G11" s="2">
        <v>61</v>
      </c>
      <c r="H11" s="2">
        <v>0.55000000000000004</v>
      </c>
      <c r="I11" s="2">
        <v>6.5</v>
      </c>
      <c r="J11" s="2">
        <v>4.3</v>
      </c>
      <c r="K11" s="2"/>
      <c r="L11" s="2"/>
      <c r="M11" s="2">
        <v>114</v>
      </c>
      <c r="N11" s="1"/>
      <c r="O11" s="1"/>
      <c r="P11" s="1"/>
      <c r="Q11" s="2">
        <v>96</v>
      </c>
      <c r="R11" s="2"/>
      <c r="S11" s="2"/>
      <c r="T11" s="2">
        <v>21.7</v>
      </c>
      <c r="U11" s="2">
        <v>0.8</v>
      </c>
      <c r="V11" s="2"/>
      <c r="W11" s="2"/>
      <c r="X11" s="2">
        <v>52</v>
      </c>
      <c r="Y11" s="2">
        <v>0.3</v>
      </c>
      <c r="Z11" s="2"/>
      <c r="AA11" s="5">
        <v>2.8E-3</v>
      </c>
      <c r="AB11" s="6">
        <v>7.1900000000000006E-2</v>
      </c>
      <c r="AC11" s="5">
        <v>2.18E-2</v>
      </c>
      <c r="AD11" s="5">
        <v>0.161</v>
      </c>
      <c r="AE11" s="5">
        <v>4.6600000000000003E-2</v>
      </c>
      <c r="AF11" s="5">
        <v>0.59099999999999997</v>
      </c>
      <c r="AG11" s="5"/>
      <c r="AH11" s="13"/>
      <c r="AI11" s="13"/>
      <c r="AJ11" s="13"/>
      <c r="AK11" s="13"/>
      <c r="AL11" s="12"/>
      <c r="AM11" s="12"/>
      <c r="AN11" s="13"/>
      <c r="AO11" s="13"/>
      <c r="AP11" s="13"/>
      <c r="AQ11" s="13"/>
      <c r="AR11" s="13"/>
      <c r="AS11" s="10">
        <v>0.33850000000000002</v>
      </c>
      <c r="AT11" s="10"/>
      <c r="AU11" s="5"/>
      <c r="AV11" s="5"/>
      <c r="AW11" s="5"/>
      <c r="AX11" s="10"/>
      <c r="AY11" s="10"/>
      <c r="AZ11" s="5"/>
      <c r="BA11" s="8"/>
      <c r="BB11" s="5"/>
      <c r="BC11" s="5"/>
      <c r="BD11" s="22"/>
      <c r="BE11" s="22"/>
      <c r="BF11" s="5">
        <v>0.53700000000000003</v>
      </c>
      <c r="BG11" s="5">
        <v>0.114</v>
      </c>
      <c r="BH11" s="5">
        <v>1.0500000000000001E-2</v>
      </c>
      <c r="BI11" s="5">
        <v>0.29499999999999998</v>
      </c>
      <c r="BJ11" s="5">
        <v>4.2099999999999999E-2</v>
      </c>
      <c r="BK11" s="5"/>
      <c r="BL11">
        <v>29.9</v>
      </c>
      <c r="BM11">
        <v>47.3</v>
      </c>
      <c r="BN11">
        <v>14.899999999999999</v>
      </c>
      <c r="BO11">
        <v>7.9</v>
      </c>
      <c r="BP11">
        <v>8.01</v>
      </c>
      <c r="BQ11">
        <v>17.399999999999999</v>
      </c>
      <c r="BR11">
        <v>16.100000000000001</v>
      </c>
      <c r="BS11">
        <v>11</v>
      </c>
      <c r="BT11" s="5"/>
      <c r="BU11" s="2">
        <v>96</v>
      </c>
    </row>
    <row r="12" spans="1:93" x14ac:dyDescent="0.3">
      <c r="A12" s="3" t="s">
        <v>28</v>
      </c>
      <c r="B12" s="2" t="s">
        <v>19</v>
      </c>
      <c r="C12" s="3">
        <v>66</v>
      </c>
      <c r="D12" s="2">
        <v>21.54</v>
      </c>
      <c r="E12" s="2">
        <v>15</v>
      </c>
      <c r="F12" s="2">
        <v>9</v>
      </c>
      <c r="G12" s="2">
        <v>61</v>
      </c>
      <c r="H12" s="2">
        <v>0.74</v>
      </c>
      <c r="I12" s="2">
        <v>7.3</v>
      </c>
      <c r="J12" s="2">
        <v>4.8</v>
      </c>
      <c r="K12" s="2"/>
      <c r="L12" s="2"/>
      <c r="M12" s="2">
        <v>163</v>
      </c>
      <c r="N12" s="1"/>
      <c r="O12" s="1"/>
      <c r="P12" s="1"/>
      <c r="Q12" s="2">
        <v>111</v>
      </c>
      <c r="R12" s="2"/>
      <c r="S12" s="2"/>
      <c r="T12" s="2">
        <v>13.9</v>
      </c>
      <c r="U12" s="2">
        <v>0.8</v>
      </c>
      <c r="V12" s="2"/>
      <c r="W12" s="2"/>
      <c r="X12" s="2">
        <v>41</v>
      </c>
      <c r="Y12" s="2">
        <v>1.18</v>
      </c>
      <c r="Z12" s="2"/>
      <c r="AA12" s="5">
        <v>1.2800000000000001E-2</v>
      </c>
      <c r="AB12" s="6">
        <v>7.1499999999999994E-2</v>
      </c>
      <c r="AC12" s="5">
        <v>2.6700000000000002E-2</v>
      </c>
      <c r="AD12" s="5">
        <v>0.11799999999999999</v>
      </c>
      <c r="AE12" s="5">
        <v>1.84E-2</v>
      </c>
      <c r="AF12" s="5">
        <v>0.52300000000000002</v>
      </c>
      <c r="AG12" s="5"/>
      <c r="AH12" s="13">
        <v>0.02</v>
      </c>
      <c r="AI12" s="13">
        <v>1.55E-2</v>
      </c>
      <c r="AJ12" s="13">
        <v>2.63E-2</v>
      </c>
      <c r="AK12" s="13">
        <v>4.3400000000000001E-2</v>
      </c>
      <c r="AL12" s="12">
        <f t="shared" si="0"/>
        <v>0.89480000000000004</v>
      </c>
      <c r="AM12" s="12"/>
      <c r="AN12" s="13">
        <v>0.32270000000000004</v>
      </c>
      <c r="AO12" s="13">
        <v>0.58399999999999996</v>
      </c>
      <c r="AP12" s="13">
        <v>1.43E-2</v>
      </c>
      <c r="AQ12" s="13">
        <v>1.9599999999999999E-2</v>
      </c>
      <c r="AR12" s="13"/>
      <c r="AS12" s="13">
        <v>0.34399999999999997</v>
      </c>
      <c r="AT12" s="13"/>
      <c r="AU12" s="5">
        <v>0.627</v>
      </c>
      <c r="AV12" s="5">
        <v>0.54100000000000004</v>
      </c>
      <c r="AW12" s="5">
        <v>0.71299999999999997</v>
      </c>
      <c r="AX12" s="10">
        <v>0.57999999999999996</v>
      </c>
      <c r="AY12" s="10">
        <v>0.752</v>
      </c>
      <c r="AZ12" s="5">
        <v>0.33600000000000002</v>
      </c>
      <c r="BA12" s="8">
        <v>0.51400000000000001</v>
      </c>
      <c r="BB12" s="5">
        <v>0.56100000000000005</v>
      </c>
      <c r="BC12" s="5">
        <v>0.21299999999999999</v>
      </c>
      <c r="BD12" s="22">
        <v>0.98199999999999998</v>
      </c>
      <c r="BE12" s="22"/>
      <c r="BF12" s="5">
        <v>0.83599999999999997</v>
      </c>
      <c r="BG12" s="5">
        <v>7.2999999999999995E-2</v>
      </c>
      <c r="BH12" s="5">
        <v>5.0000000000000001E-3</v>
      </c>
      <c r="BI12" s="5">
        <v>6.5000000000000002E-2</v>
      </c>
      <c r="BJ12" s="5">
        <v>2.01E-2</v>
      </c>
      <c r="BK12" s="5"/>
      <c r="BL12">
        <v>72.3</v>
      </c>
      <c r="BM12">
        <v>17.100000000000001</v>
      </c>
      <c r="BN12">
        <v>4.5900000000000007</v>
      </c>
      <c r="BO12">
        <v>6</v>
      </c>
      <c r="BP12">
        <v>14.2</v>
      </c>
      <c r="BQ12">
        <v>14.000000000000002</v>
      </c>
      <c r="BR12">
        <v>19.900000000000002</v>
      </c>
      <c r="BS12">
        <v>13.900000000000002</v>
      </c>
      <c r="BT12" s="5"/>
      <c r="BU12" s="2">
        <v>111</v>
      </c>
    </row>
    <row r="13" spans="1:93" x14ac:dyDescent="0.3">
      <c r="A13" s="3" t="s">
        <v>29</v>
      </c>
      <c r="B13" s="2" t="s">
        <v>17</v>
      </c>
      <c r="C13" s="3">
        <v>67</v>
      </c>
      <c r="D13" s="2">
        <v>23.24</v>
      </c>
      <c r="E13" s="2">
        <v>25</v>
      </c>
      <c r="F13" s="2">
        <v>40</v>
      </c>
      <c r="G13" s="2">
        <v>73</v>
      </c>
      <c r="H13" s="2">
        <v>0.44</v>
      </c>
      <c r="I13" s="2">
        <v>5.3</v>
      </c>
      <c r="J13" s="2">
        <v>3</v>
      </c>
      <c r="K13" s="2"/>
      <c r="L13" s="2"/>
      <c r="M13" s="2">
        <v>155</v>
      </c>
      <c r="N13" s="1"/>
      <c r="O13" s="1"/>
      <c r="P13" s="1"/>
      <c r="Q13" s="2">
        <v>89</v>
      </c>
      <c r="R13" s="2"/>
      <c r="S13" s="2"/>
      <c r="T13" s="2">
        <v>15.9</v>
      </c>
      <c r="U13" s="2">
        <v>0.46</v>
      </c>
      <c r="V13" s="2"/>
      <c r="W13" s="2"/>
      <c r="X13" s="2">
        <v>48</v>
      </c>
      <c r="Y13" s="2">
        <v>6.84</v>
      </c>
      <c r="Z13" s="2"/>
      <c r="AA13" s="5">
        <v>9.7000000000000003E-3</v>
      </c>
      <c r="AB13" s="6">
        <v>0.192</v>
      </c>
      <c r="AC13" s="5">
        <v>6.13E-2</v>
      </c>
      <c r="AD13" s="5">
        <v>5.0099999999999999E-2</v>
      </c>
      <c r="AE13" s="5">
        <v>7.3700000000000002E-2</v>
      </c>
      <c r="AF13" s="5">
        <v>0.29299999999999998</v>
      </c>
      <c r="AG13" s="5"/>
      <c r="AH13" s="13">
        <v>2.4199999999999999E-2</v>
      </c>
      <c r="AI13" s="13">
        <v>3.9399999999999998E-2</v>
      </c>
      <c r="AJ13" s="13">
        <v>3.8999999999999998E-3</v>
      </c>
      <c r="AK13" s="13">
        <v>1.38E-2</v>
      </c>
      <c r="AL13" s="12">
        <f t="shared" si="0"/>
        <v>0.91870000000000007</v>
      </c>
      <c r="AM13" s="12"/>
      <c r="AN13" s="5">
        <v>0.36470000000000002</v>
      </c>
      <c r="AO13" s="5">
        <v>0.58199999999999996</v>
      </c>
      <c r="AP13" s="5">
        <v>2.63E-2</v>
      </c>
      <c r="AQ13" s="5">
        <v>3.3E-3</v>
      </c>
      <c r="AR13" s="5"/>
      <c r="AS13" s="10">
        <v>0.41549999999999998</v>
      </c>
      <c r="AT13" s="10"/>
      <c r="AU13" s="5">
        <v>0.76500000000000001</v>
      </c>
      <c r="AV13" s="5">
        <v>0.66100000000000003</v>
      </c>
      <c r="AW13" s="5">
        <v>0.57699999999999996</v>
      </c>
      <c r="AX13" s="10">
        <v>0.65100000000000002</v>
      </c>
      <c r="AY13" s="10">
        <v>0.59899999999999998</v>
      </c>
      <c r="AZ13" s="5">
        <v>0.26500000000000001</v>
      </c>
      <c r="BA13" s="8">
        <v>0.74099999999999999</v>
      </c>
      <c r="BB13" s="5">
        <v>0.64900000000000002</v>
      </c>
      <c r="BC13" s="5">
        <v>0.75</v>
      </c>
      <c r="BD13" s="22">
        <v>0.85899999999999999</v>
      </c>
      <c r="BE13" s="22"/>
      <c r="BF13" s="5">
        <v>0.439</v>
      </c>
      <c r="BG13" s="5">
        <v>9.2799999999999994E-2</v>
      </c>
      <c r="BH13" s="5">
        <v>6.1400000000000003E-2</v>
      </c>
      <c r="BI13" s="5">
        <v>0.312</v>
      </c>
      <c r="BJ13" s="5">
        <v>8.1900000000000001E-2</v>
      </c>
      <c r="BK13" s="5"/>
      <c r="BL13">
        <v>72.099999999999994</v>
      </c>
      <c r="BM13">
        <v>22.6</v>
      </c>
      <c r="BN13">
        <v>0.97</v>
      </c>
      <c r="BO13">
        <v>4.2700000000000005</v>
      </c>
      <c r="BP13">
        <v>15</v>
      </c>
      <c r="BQ13">
        <v>17.399999999999999</v>
      </c>
      <c r="BR13">
        <v>21.099999999999998</v>
      </c>
      <c r="BS13">
        <v>14.000000000000002</v>
      </c>
      <c r="BT13" s="5"/>
      <c r="BU13" s="2">
        <v>89</v>
      </c>
    </row>
    <row r="14" spans="1:93" x14ac:dyDescent="0.3">
      <c r="A14" s="3" t="s">
        <v>30</v>
      </c>
      <c r="B14" s="2" t="s">
        <v>19</v>
      </c>
      <c r="C14" s="3">
        <v>48</v>
      </c>
      <c r="D14" s="2">
        <v>24.76</v>
      </c>
      <c r="E14" s="2">
        <v>21</v>
      </c>
      <c r="F14" s="2">
        <v>6</v>
      </c>
      <c r="G14" s="2">
        <v>51</v>
      </c>
      <c r="H14" s="2">
        <v>1.0900000000000001</v>
      </c>
      <c r="I14" s="2">
        <v>7.3</v>
      </c>
      <c r="J14" s="2">
        <v>4.5</v>
      </c>
      <c r="K14" s="2"/>
      <c r="L14" s="2"/>
      <c r="M14" s="2">
        <v>189</v>
      </c>
      <c r="N14" s="1"/>
      <c r="O14" s="1"/>
      <c r="P14" s="1"/>
      <c r="Q14" s="2">
        <v>91</v>
      </c>
      <c r="R14" s="2"/>
      <c r="S14" s="2"/>
      <c r="T14" s="2">
        <v>11.8</v>
      </c>
      <c r="U14" s="2">
        <v>0.92</v>
      </c>
      <c r="V14" s="2"/>
      <c r="W14" s="2"/>
      <c r="X14" s="2">
        <v>48</v>
      </c>
      <c r="Y14" s="2">
        <v>0.35</v>
      </c>
      <c r="Z14" s="2"/>
      <c r="AA14" s="5">
        <v>3.3300000000000003E-2</v>
      </c>
      <c r="AB14" s="6">
        <v>0.122</v>
      </c>
      <c r="AC14" s="5">
        <v>3.7400000000000003E-2</v>
      </c>
      <c r="AD14" s="5">
        <v>6.3100000000000003E-2</v>
      </c>
      <c r="AE14" s="5">
        <v>1.8700000000000001E-2</v>
      </c>
      <c r="AF14" s="5">
        <v>0.57299999999999995</v>
      </c>
      <c r="AG14" s="5"/>
      <c r="AH14" s="13">
        <v>0.14899999999999999</v>
      </c>
      <c r="AI14" s="13">
        <v>5.1200000000000002E-2</v>
      </c>
      <c r="AJ14" s="13">
        <v>1.47E-2</v>
      </c>
      <c r="AK14" s="13">
        <v>2.0500000000000001E-2</v>
      </c>
      <c r="AL14" s="12">
        <f t="shared" si="0"/>
        <v>0.76460000000000006</v>
      </c>
      <c r="AM14" s="12"/>
      <c r="AN14" s="13">
        <v>0.3236</v>
      </c>
      <c r="AO14" s="13">
        <v>0.63800000000000001</v>
      </c>
      <c r="AP14" s="13">
        <v>1.24E-2</v>
      </c>
      <c r="AQ14" s="13">
        <v>9.9000000000000008E-3</v>
      </c>
      <c r="AR14" s="13"/>
      <c r="AS14" s="10">
        <v>0.45100000000000001</v>
      </c>
      <c r="AT14" s="10"/>
      <c r="AU14" s="5">
        <v>0.79500000000000004</v>
      </c>
      <c r="AV14" s="5">
        <v>0.73199999999999998</v>
      </c>
      <c r="AW14" s="5">
        <v>0.64400000000000002</v>
      </c>
      <c r="AX14" s="10">
        <v>0.73199999999999998</v>
      </c>
      <c r="AY14" s="10">
        <v>0.86599999999999999</v>
      </c>
      <c r="AZ14" s="5">
        <v>0.2</v>
      </c>
      <c r="BA14" s="8">
        <v>0.32500000000000001</v>
      </c>
      <c r="BB14" s="5">
        <v>0.27500000000000002</v>
      </c>
      <c r="BC14" s="5">
        <v>0.35</v>
      </c>
      <c r="BD14" s="22">
        <v>0.63700000000000001</v>
      </c>
      <c r="BE14" s="22"/>
      <c r="BF14" s="5">
        <v>0.91300000000000003</v>
      </c>
      <c r="BG14" s="5">
        <v>2.53E-2</v>
      </c>
      <c r="BH14" s="5">
        <v>9.4999999999999998E-3</v>
      </c>
      <c r="BI14" s="5">
        <v>2.53E-2</v>
      </c>
      <c r="BJ14" s="5">
        <v>2.47E-2</v>
      </c>
      <c r="BK14" s="5"/>
      <c r="BL14">
        <v>47</v>
      </c>
      <c r="BM14">
        <v>20.3</v>
      </c>
      <c r="BN14">
        <v>21</v>
      </c>
      <c r="BO14">
        <v>11.700000000000001</v>
      </c>
      <c r="BP14">
        <v>10.6</v>
      </c>
      <c r="BQ14">
        <v>10.299999999999999</v>
      </c>
      <c r="BR14">
        <v>0</v>
      </c>
      <c r="BS14">
        <v>9.09</v>
      </c>
      <c r="BT14" s="5"/>
      <c r="BU14" s="2">
        <v>91</v>
      </c>
    </row>
    <row r="15" spans="1:93" x14ac:dyDescent="0.3">
      <c r="A15" s="3" t="s">
        <v>31</v>
      </c>
      <c r="B15" s="2" t="s">
        <v>19</v>
      </c>
      <c r="C15" s="3">
        <v>56</v>
      </c>
      <c r="D15" s="2">
        <v>23.54</v>
      </c>
      <c r="E15" s="2">
        <v>18</v>
      </c>
      <c r="F15" s="2">
        <v>11</v>
      </c>
      <c r="G15" s="2">
        <v>69</v>
      </c>
      <c r="H15" s="2">
        <v>0.36</v>
      </c>
      <c r="I15" s="2">
        <v>6.8</v>
      </c>
      <c r="J15" s="2">
        <v>4.0999999999999996</v>
      </c>
      <c r="K15" s="2"/>
      <c r="L15" s="2"/>
      <c r="M15" s="2">
        <v>165</v>
      </c>
      <c r="N15" s="1"/>
      <c r="O15" s="1"/>
      <c r="P15" s="1"/>
      <c r="Q15" s="2">
        <v>84</v>
      </c>
      <c r="R15" s="2"/>
      <c r="S15" s="2"/>
      <c r="T15" s="2">
        <v>15.6</v>
      </c>
      <c r="U15" s="2">
        <v>0.87</v>
      </c>
      <c r="V15" s="2"/>
      <c r="W15" s="2"/>
      <c r="X15" s="2">
        <v>79</v>
      </c>
      <c r="Y15" s="2">
        <v>0.41</v>
      </c>
      <c r="Z15" s="2"/>
      <c r="AA15" s="5">
        <v>1.26E-2</v>
      </c>
      <c r="AB15" s="6">
        <v>0.10199999999999999</v>
      </c>
      <c r="AC15" s="5">
        <v>2.8400000000000002E-2</v>
      </c>
      <c r="AD15" s="5">
        <v>0.13900000000000001</v>
      </c>
      <c r="AE15" s="5">
        <v>0.14899999999999999</v>
      </c>
      <c r="AF15" s="5">
        <v>0.52600000000000002</v>
      </c>
      <c r="AG15" s="5"/>
      <c r="AL15" s="12"/>
      <c r="AM15" s="12"/>
      <c r="AS15" s="5">
        <v>0.45</v>
      </c>
      <c r="AT15" s="5"/>
      <c r="AU15" s="5"/>
      <c r="AV15" s="5"/>
      <c r="AW15" s="5"/>
      <c r="AX15" s="10"/>
      <c r="AY15" s="10"/>
      <c r="AZ15" s="5"/>
      <c r="BA15" s="8"/>
      <c r="BB15" s="5"/>
      <c r="BC15" s="5"/>
      <c r="BD15" s="22"/>
      <c r="BE15" s="22"/>
      <c r="BF15" s="5">
        <v>0.87</v>
      </c>
      <c r="BG15" s="5">
        <v>3.2500000000000001E-2</v>
      </c>
      <c r="BH15" s="5">
        <v>2.8500000000000001E-2</v>
      </c>
      <c r="BI15" s="5">
        <v>4.07E-2</v>
      </c>
      <c r="BJ15" s="5">
        <v>1.6299999999999999E-2</v>
      </c>
      <c r="BK15" s="5"/>
      <c r="BL15">
        <v>35</v>
      </c>
      <c r="BM15">
        <v>41.9</v>
      </c>
      <c r="BN15">
        <v>13.900000000000002</v>
      </c>
      <c r="BO15">
        <v>9.17</v>
      </c>
      <c r="BP15">
        <v>3.2800000000000002</v>
      </c>
      <c r="BQ15">
        <v>16.7</v>
      </c>
      <c r="BR15">
        <v>25</v>
      </c>
      <c r="BS15">
        <v>1.27</v>
      </c>
      <c r="BT15" s="5"/>
      <c r="BU15" s="2">
        <v>84</v>
      </c>
    </row>
    <row r="16" spans="1:93" x14ac:dyDescent="0.3">
      <c r="A16" s="3" t="s">
        <v>32</v>
      </c>
      <c r="B16" s="2" t="s">
        <v>17</v>
      </c>
      <c r="C16" s="3">
        <v>51</v>
      </c>
      <c r="D16" s="2">
        <v>20.8</v>
      </c>
      <c r="E16" s="2">
        <v>21</v>
      </c>
      <c r="F16" s="2">
        <v>32</v>
      </c>
      <c r="G16" s="2">
        <v>116</v>
      </c>
      <c r="H16" s="2">
        <v>0.51</v>
      </c>
      <c r="I16" s="2">
        <v>7</v>
      </c>
      <c r="J16" s="2">
        <v>4.0999999999999996</v>
      </c>
      <c r="K16" s="2"/>
      <c r="L16" s="2"/>
      <c r="M16" s="2"/>
      <c r="N16" s="1"/>
      <c r="O16" s="1"/>
      <c r="P16" s="1"/>
      <c r="Q16" s="2">
        <v>100</v>
      </c>
      <c r="R16" s="2"/>
      <c r="S16" s="2"/>
      <c r="T16" s="2">
        <v>18.2</v>
      </c>
      <c r="U16" s="2">
        <v>0.54</v>
      </c>
      <c r="V16" s="2"/>
      <c r="W16" s="2"/>
      <c r="X16" s="2">
        <v>49</v>
      </c>
      <c r="Y16" s="2">
        <v>33.1</v>
      </c>
      <c r="Z16" s="2"/>
      <c r="AA16" s="5">
        <v>3.6400000000000002E-2</v>
      </c>
      <c r="AB16" s="6">
        <v>0.154</v>
      </c>
      <c r="AC16" s="5">
        <v>0.111</v>
      </c>
      <c r="AD16" s="5">
        <v>0.17100000000000001</v>
      </c>
      <c r="AE16" s="5">
        <v>2.2599999999999999E-2</v>
      </c>
      <c r="AF16" s="5">
        <v>0.43</v>
      </c>
      <c r="AG16" s="5"/>
      <c r="AH16" s="13">
        <v>5.9400000000000001E-2</v>
      </c>
      <c r="AI16" s="13">
        <v>3.4099999999999998E-2</v>
      </c>
      <c r="AJ16" s="13">
        <v>2.5999999999999999E-3</v>
      </c>
      <c r="AK16" s="13">
        <v>3.4599999999999999E-2</v>
      </c>
      <c r="AL16" s="12">
        <f t="shared" si="0"/>
        <v>0.86929999999999996</v>
      </c>
      <c r="AM16" s="12"/>
      <c r="AN16" s="13">
        <v>0.50090000000000001</v>
      </c>
      <c r="AO16" s="13">
        <v>0.45100000000000001</v>
      </c>
      <c r="AP16" s="13">
        <v>1.01E-2</v>
      </c>
      <c r="AQ16" s="13">
        <v>3.2000000000000002E-3</v>
      </c>
      <c r="AR16" s="13"/>
      <c r="AS16" s="5">
        <v>0.443</v>
      </c>
      <c r="AT16" s="5"/>
      <c r="AU16" s="5">
        <v>0.84599999999999997</v>
      </c>
      <c r="AV16" s="5">
        <v>0.74399999999999999</v>
      </c>
      <c r="AW16" s="5">
        <v>0.59599999999999997</v>
      </c>
      <c r="AX16" s="10">
        <v>0.56799999999999995</v>
      </c>
      <c r="AY16" s="10">
        <v>0.92500000000000004</v>
      </c>
      <c r="AZ16" s="5">
        <v>0.35699999999999998</v>
      </c>
      <c r="BA16" s="8">
        <v>0.65100000000000002</v>
      </c>
      <c r="BB16" s="5">
        <v>0.318</v>
      </c>
      <c r="BC16" s="5">
        <v>0.73</v>
      </c>
      <c r="BD16" s="22">
        <v>0.89200000000000002</v>
      </c>
      <c r="BE16" s="22"/>
      <c r="BF16" s="5">
        <v>0.68</v>
      </c>
      <c r="BG16" s="5">
        <v>4.4499999999999998E-2</v>
      </c>
      <c r="BH16" s="5">
        <v>7.9000000000000008E-3</v>
      </c>
      <c r="BI16" s="5">
        <v>0.16800000000000001</v>
      </c>
      <c r="BJ16" s="5">
        <v>9.8599999999999993E-2</v>
      </c>
      <c r="BK16" s="5"/>
      <c r="BL16">
        <v>24.7</v>
      </c>
      <c r="BM16">
        <v>65.3</v>
      </c>
      <c r="BN16">
        <v>6.23</v>
      </c>
      <c r="BO16">
        <v>3.71</v>
      </c>
      <c r="BP16">
        <v>2.35</v>
      </c>
      <c r="BQ16">
        <v>5.66</v>
      </c>
      <c r="BR16">
        <v>6.35</v>
      </c>
      <c r="BS16">
        <v>2.56</v>
      </c>
      <c r="BT16" s="5"/>
      <c r="BU16" s="2">
        <v>100</v>
      </c>
    </row>
    <row r="17" spans="1:73" x14ac:dyDescent="0.3">
      <c r="A17" s="3" t="s">
        <v>33</v>
      </c>
      <c r="B17" s="2" t="s">
        <v>17</v>
      </c>
      <c r="C17" s="3">
        <v>76</v>
      </c>
      <c r="D17" s="2">
        <v>24.53</v>
      </c>
      <c r="E17" s="2">
        <v>24</v>
      </c>
      <c r="F17" s="2">
        <v>14</v>
      </c>
      <c r="G17" s="2">
        <v>44</v>
      </c>
      <c r="H17" s="2">
        <v>0.45</v>
      </c>
      <c r="I17" s="2">
        <v>6.8</v>
      </c>
      <c r="J17" s="2">
        <v>4.0999999999999996</v>
      </c>
      <c r="K17" s="2"/>
      <c r="L17" s="2"/>
      <c r="M17" s="2">
        <v>145</v>
      </c>
      <c r="N17" s="1"/>
      <c r="O17" s="1"/>
      <c r="P17" s="1"/>
      <c r="Q17" s="2">
        <v>144</v>
      </c>
      <c r="R17" s="2"/>
      <c r="S17" s="2"/>
      <c r="T17" s="2">
        <v>17.600000000000001</v>
      </c>
      <c r="U17" s="2">
        <v>0.85</v>
      </c>
      <c r="V17" s="2"/>
      <c r="W17" s="2"/>
      <c r="X17" s="2">
        <v>49</v>
      </c>
      <c r="Y17" s="2">
        <v>0.56000000000000005</v>
      </c>
      <c r="Z17" s="2"/>
      <c r="AA17" s="5">
        <v>1.5100000000000001E-2</v>
      </c>
      <c r="AB17" s="6">
        <v>0.105</v>
      </c>
      <c r="AC17" s="5">
        <v>4.9299999999999997E-2</v>
      </c>
      <c r="AD17" s="5">
        <v>0.123</v>
      </c>
      <c r="AE17" s="5">
        <v>2.3099999999999999E-2</v>
      </c>
      <c r="AF17" s="5">
        <v>0.52300000000000002</v>
      </c>
      <c r="AG17" s="5"/>
      <c r="AL17" s="12"/>
      <c r="AM17" s="12"/>
      <c r="AS17" s="5">
        <v>0.45050000000000001</v>
      </c>
      <c r="AT17" s="5"/>
      <c r="AU17" s="5"/>
      <c r="AV17" s="5"/>
      <c r="AW17" s="5"/>
      <c r="AX17" s="10"/>
      <c r="AY17" s="10"/>
      <c r="AZ17" s="5"/>
      <c r="BA17" s="8"/>
      <c r="BB17" s="5"/>
      <c r="BC17" s="5"/>
      <c r="BD17" s="22"/>
      <c r="BE17" s="22"/>
      <c r="BF17" s="5">
        <v>0.439</v>
      </c>
      <c r="BG17" s="5">
        <v>0.111</v>
      </c>
      <c r="BH17" s="5">
        <v>3.5400000000000001E-2</v>
      </c>
      <c r="BI17" s="5">
        <v>0.36399999999999999</v>
      </c>
      <c r="BJ17" s="5">
        <v>3.5400000000000001E-2</v>
      </c>
      <c r="BK17" s="5"/>
      <c r="BL17">
        <v>57.499999999999993</v>
      </c>
      <c r="BM17">
        <v>23.799999999999997</v>
      </c>
      <c r="BN17">
        <v>6.5</v>
      </c>
      <c r="BO17">
        <v>12.1</v>
      </c>
      <c r="BP17">
        <v>13.4</v>
      </c>
      <c r="BQ17">
        <v>18.2</v>
      </c>
      <c r="BR17">
        <v>7.84</v>
      </c>
      <c r="BS17">
        <v>7.46</v>
      </c>
      <c r="BT17" s="5"/>
      <c r="BU17" s="2">
        <v>144</v>
      </c>
    </row>
    <row r="18" spans="1:73" x14ac:dyDescent="0.3">
      <c r="A18" s="3" t="s">
        <v>34</v>
      </c>
      <c r="B18" s="2" t="s">
        <v>17</v>
      </c>
      <c r="C18" s="3">
        <v>34</v>
      </c>
      <c r="D18" s="2">
        <v>23.39</v>
      </c>
      <c r="E18" s="2">
        <v>23</v>
      </c>
      <c r="F18" s="2">
        <v>14</v>
      </c>
      <c r="G18" s="2">
        <v>51</v>
      </c>
      <c r="H18" s="2">
        <v>0.57999999999999996</v>
      </c>
      <c r="I18" s="2">
        <v>8</v>
      </c>
      <c r="J18" s="2">
        <v>4.8</v>
      </c>
      <c r="K18" s="2"/>
      <c r="L18" s="2"/>
      <c r="M18" s="2">
        <v>269</v>
      </c>
      <c r="N18" s="1"/>
      <c r="O18" s="1"/>
      <c r="P18" s="1"/>
      <c r="Q18" s="2">
        <v>95</v>
      </c>
      <c r="R18" s="2"/>
      <c r="S18" s="2"/>
      <c r="T18" s="2">
        <v>11.5</v>
      </c>
      <c r="U18" s="2">
        <v>0.85</v>
      </c>
      <c r="V18" s="2"/>
      <c r="W18" s="2"/>
      <c r="X18" s="2">
        <v>64</v>
      </c>
      <c r="Y18" s="2">
        <v>1.1100000000000001</v>
      </c>
      <c r="Z18" s="2"/>
      <c r="AA18" s="5">
        <v>6.7999999999999996E-3</v>
      </c>
      <c r="AB18" s="6">
        <v>0.21299999999999999</v>
      </c>
      <c r="AC18" s="5">
        <v>3.44E-2</v>
      </c>
      <c r="AD18" s="5">
        <v>0.10299999999999999</v>
      </c>
      <c r="AE18" s="5">
        <v>1.4800000000000001E-2</v>
      </c>
      <c r="AF18" s="5">
        <v>0.51200000000000001</v>
      </c>
      <c r="AG18" s="5"/>
      <c r="AL18" s="12"/>
      <c r="AM18" s="12"/>
      <c r="AS18" s="11">
        <v>0.36</v>
      </c>
      <c r="AT18" s="11"/>
      <c r="AU18" s="5"/>
      <c r="AV18" s="5"/>
      <c r="AW18" s="5"/>
      <c r="AX18" s="10"/>
      <c r="AY18" s="10"/>
      <c r="AZ18" s="5"/>
      <c r="BA18" s="8"/>
      <c r="BB18" s="5"/>
      <c r="BC18" s="5"/>
      <c r="BD18" s="22"/>
      <c r="BE18" s="22"/>
      <c r="BF18" s="5">
        <v>0.747</v>
      </c>
      <c r="BG18" s="5">
        <v>4.0399999999999998E-2</v>
      </c>
      <c r="BH18" s="5">
        <v>3.0300000000000001E-2</v>
      </c>
      <c r="BI18" s="5">
        <v>0.14099999999999999</v>
      </c>
      <c r="BJ18" s="5">
        <v>1.01E-2</v>
      </c>
      <c r="BK18" s="5"/>
      <c r="BL18">
        <v>74.599999999999994</v>
      </c>
      <c r="BM18">
        <v>16.7</v>
      </c>
      <c r="BN18">
        <v>1.06</v>
      </c>
      <c r="BO18">
        <v>7.6300000000000008</v>
      </c>
      <c r="BP18">
        <v>0.95</v>
      </c>
      <c r="BQ18">
        <v>8.73</v>
      </c>
      <c r="BR18">
        <v>15</v>
      </c>
      <c r="BS18">
        <v>0.16</v>
      </c>
      <c r="BT18" s="5"/>
      <c r="BU18" s="2">
        <v>95</v>
      </c>
    </row>
    <row r="19" spans="1:73" x14ac:dyDescent="0.3">
      <c r="A19" s="3" t="s">
        <v>35</v>
      </c>
      <c r="B19" s="2" t="s">
        <v>17</v>
      </c>
      <c r="C19" s="3">
        <v>66</v>
      </c>
      <c r="D19" s="2">
        <v>28.53</v>
      </c>
      <c r="E19" s="2">
        <v>27</v>
      </c>
      <c r="F19" s="2">
        <v>27</v>
      </c>
      <c r="G19" s="2"/>
      <c r="H19" s="2">
        <v>0.43</v>
      </c>
      <c r="I19" s="2">
        <v>7.5</v>
      </c>
      <c r="J19" s="2">
        <v>4.7</v>
      </c>
      <c r="K19" s="2"/>
      <c r="L19" s="2"/>
      <c r="M19" s="2"/>
      <c r="N19" s="1"/>
      <c r="O19" s="1"/>
      <c r="P19" s="1"/>
      <c r="Q19" s="2">
        <v>127</v>
      </c>
      <c r="R19" s="2"/>
      <c r="S19" s="2"/>
      <c r="T19" s="2">
        <v>11.7</v>
      </c>
      <c r="U19" s="2">
        <v>0.71</v>
      </c>
      <c r="V19" s="2"/>
      <c r="W19" s="2"/>
      <c r="X19" s="2">
        <v>42</v>
      </c>
      <c r="Y19" s="2"/>
      <c r="Z19" s="2"/>
      <c r="AA19" s="5">
        <v>0.35799999999999998</v>
      </c>
      <c r="AB19" s="6">
        <v>0.03</v>
      </c>
      <c r="AC19" s="5">
        <v>2.1000000000000001E-2</v>
      </c>
      <c r="AD19" s="5">
        <v>2.1700000000000001E-2</v>
      </c>
      <c r="AE19" s="5">
        <v>5.0000000000000001E-3</v>
      </c>
      <c r="AF19" s="5">
        <v>0.503</v>
      </c>
      <c r="AG19" s="5"/>
      <c r="AH19" s="5">
        <v>0.216</v>
      </c>
      <c r="AI19" s="5">
        <v>3.09E-2</v>
      </c>
      <c r="AJ19" s="5">
        <v>4.7000000000000002E-3</v>
      </c>
      <c r="AK19" s="5">
        <v>6.6E-3</v>
      </c>
      <c r="AL19" s="12">
        <f t="shared" si="0"/>
        <v>0.74180000000000001</v>
      </c>
      <c r="AM19" s="12"/>
      <c r="AN19" s="5">
        <v>0.19210000000000002</v>
      </c>
      <c r="AO19" s="5">
        <v>0.78600000000000003</v>
      </c>
      <c r="AP19" s="5">
        <v>3.8999999999999998E-3</v>
      </c>
      <c r="AQ19" s="5">
        <v>1.2999999999999999E-4</v>
      </c>
      <c r="AR19" s="5"/>
      <c r="AS19" s="5">
        <v>0.29249999999999998</v>
      </c>
      <c r="AT19" s="5"/>
      <c r="AU19" s="5">
        <v>0.69299999999999995</v>
      </c>
      <c r="AV19" s="5">
        <v>0.504</v>
      </c>
      <c r="AW19" s="5">
        <v>0.24</v>
      </c>
      <c r="AX19" s="10">
        <v>0.65</v>
      </c>
      <c r="AY19" s="10">
        <v>0.20699999999999999</v>
      </c>
      <c r="AZ19" s="5">
        <v>0.12</v>
      </c>
      <c r="BA19" s="8">
        <v>0.20100000000000001</v>
      </c>
      <c r="BB19" s="5">
        <v>0.223</v>
      </c>
      <c r="BC19" s="5">
        <v>0.49199999999999999</v>
      </c>
      <c r="BD19" s="22">
        <v>0.58499999999999996</v>
      </c>
      <c r="BE19" s="22"/>
      <c r="BF19" s="5">
        <v>0.95099999999999996</v>
      </c>
      <c r="BG19" s="5">
        <v>8.3000000000000001E-3</v>
      </c>
      <c r="BH19" s="5">
        <v>2.3999999999999998E-3</v>
      </c>
      <c r="BI19" s="5">
        <v>2.75E-2</v>
      </c>
      <c r="BJ19" s="5">
        <v>8.8000000000000005E-3</v>
      </c>
      <c r="BK19" s="5"/>
      <c r="BL19">
        <v>42.1</v>
      </c>
      <c r="BM19">
        <v>38.4</v>
      </c>
      <c r="BN19">
        <v>7.870000000000001</v>
      </c>
      <c r="BO19">
        <v>11.600000000000001</v>
      </c>
      <c r="BP19">
        <v>8.18</v>
      </c>
      <c r="BQ19">
        <v>22.7</v>
      </c>
      <c r="BR19">
        <v>36.199999999999996</v>
      </c>
      <c r="BS19">
        <v>14.7</v>
      </c>
      <c r="BT19" s="5"/>
      <c r="BU19" s="2">
        <v>127</v>
      </c>
    </row>
    <row r="20" spans="1:73" x14ac:dyDescent="0.3">
      <c r="A20" s="3" t="s">
        <v>36</v>
      </c>
      <c r="B20" s="2" t="s">
        <v>19</v>
      </c>
      <c r="C20" s="3">
        <v>57</v>
      </c>
      <c r="D20" s="2">
        <v>27.57</v>
      </c>
      <c r="E20" s="2">
        <v>22</v>
      </c>
      <c r="F20" s="2">
        <v>13</v>
      </c>
      <c r="G20" s="2">
        <v>82</v>
      </c>
      <c r="H20" s="2">
        <v>0.8</v>
      </c>
      <c r="I20" s="2">
        <v>7.2</v>
      </c>
      <c r="J20" s="2">
        <v>4.5</v>
      </c>
      <c r="K20" s="2"/>
      <c r="L20" s="2"/>
      <c r="M20" s="2">
        <v>217</v>
      </c>
      <c r="N20" s="1"/>
      <c r="O20" s="1"/>
      <c r="P20" s="1"/>
      <c r="Q20" s="2">
        <v>103</v>
      </c>
      <c r="R20" s="2"/>
      <c r="S20" s="2"/>
      <c r="T20" s="2">
        <v>17.5</v>
      </c>
      <c r="U20" s="2">
        <v>1.05</v>
      </c>
      <c r="V20" s="2"/>
      <c r="W20" s="2"/>
      <c r="X20" s="2">
        <v>59</v>
      </c>
      <c r="Y20" s="2">
        <v>0.45</v>
      </c>
      <c r="Z20" s="2"/>
      <c r="AA20" s="5">
        <v>1.32E-2</v>
      </c>
      <c r="AB20" s="6">
        <v>0.114</v>
      </c>
      <c r="AC20" s="5">
        <v>2.4799999999999999E-2</v>
      </c>
      <c r="AD20" s="5">
        <v>0.127</v>
      </c>
      <c r="AE20" s="5">
        <v>0.122</v>
      </c>
      <c r="AF20" s="5">
        <v>0.52400000000000002</v>
      </c>
      <c r="AG20" s="5"/>
      <c r="AH20" s="5">
        <v>1.4E-2</v>
      </c>
      <c r="AI20" s="5">
        <v>7.5300000000000006E-2</v>
      </c>
      <c r="AJ20" s="5">
        <v>5.7999999999999996E-3</v>
      </c>
      <c r="AK20" s="5">
        <v>1.8599999999999998E-2</v>
      </c>
      <c r="AL20" s="12">
        <f t="shared" si="0"/>
        <v>0.88629999999999998</v>
      </c>
      <c r="AM20" s="12"/>
      <c r="AN20" s="5">
        <v>0.36849999999999999</v>
      </c>
      <c r="AO20" s="5">
        <v>0.60599999999999998</v>
      </c>
      <c r="AP20" s="5">
        <v>7.4999999999999997E-3</v>
      </c>
      <c r="AQ20" s="11">
        <v>0</v>
      </c>
      <c r="AR20" s="11"/>
      <c r="AS20" s="5">
        <v>0.30549999999999999</v>
      </c>
      <c r="AT20" s="5"/>
      <c r="AU20" s="5">
        <v>0.35699999999999998</v>
      </c>
      <c r="AV20" s="5">
        <v>0.29299999999999998</v>
      </c>
      <c r="AW20" s="5">
        <v>0.41899999999999998</v>
      </c>
      <c r="AX20" s="10">
        <v>0.54</v>
      </c>
      <c r="AY20" s="10">
        <v>0.28000000000000003</v>
      </c>
      <c r="AZ20" s="5">
        <v>0.24</v>
      </c>
      <c r="BA20" s="8">
        <v>0.629</v>
      </c>
      <c r="BB20" s="5">
        <v>0.247</v>
      </c>
      <c r="BC20" s="5">
        <v>0.80400000000000005</v>
      </c>
      <c r="BD20" s="22">
        <v>0.63400000000000001</v>
      </c>
      <c r="BE20" s="22"/>
      <c r="BF20" s="5">
        <v>0.873</v>
      </c>
      <c r="BG20" s="5">
        <v>7.0000000000000001E-3</v>
      </c>
      <c r="BH20" s="5">
        <v>2.9899999999999999E-2</v>
      </c>
      <c r="BI20" s="5">
        <v>5.4600000000000003E-2</v>
      </c>
      <c r="BJ20" s="5">
        <v>2.8199999999999999E-2</v>
      </c>
      <c r="BK20" s="5"/>
      <c r="BL20">
        <v>47.099999999999994</v>
      </c>
      <c r="BM20">
        <v>36.6</v>
      </c>
      <c r="BN20">
        <v>9.0499999999999989</v>
      </c>
      <c r="BO20">
        <v>7.17</v>
      </c>
      <c r="BP20">
        <v>5.28</v>
      </c>
      <c r="BQ20">
        <v>10</v>
      </c>
      <c r="BR20">
        <v>7.6899999999999995</v>
      </c>
      <c r="BS20">
        <v>2.98</v>
      </c>
      <c r="BT20" s="5"/>
      <c r="BU20" s="2">
        <v>103</v>
      </c>
    </row>
    <row r="21" spans="1:73" x14ac:dyDescent="0.3">
      <c r="A21" s="3" t="s">
        <v>37</v>
      </c>
      <c r="B21" s="2" t="s">
        <v>17</v>
      </c>
      <c r="C21" s="3">
        <v>37</v>
      </c>
      <c r="D21" s="2">
        <v>25.93</v>
      </c>
      <c r="E21" s="2">
        <v>18</v>
      </c>
      <c r="F21" s="2">
        <v>17</v>
      </c>
      <c r="G21" s="2">
        <v>121</v>
      </c>
      <c r="H21" s="2">
        <v>0.56999999999999995</v>
      </c>
      <c r="I21" s="2">
        <v>7.7</v>
      </c>
      <c r="J21" s="2">
        <v>4.5999999999999996</v>
      </c>
      <c r="K21" s="2"/>
      <c r="L21" s="2"/>
      <c r="M21" s="2">
        <v>191</v>
      </c>
      <c r="N21" s="1"/>
      <c r="O21" s="1"/>
      <c r="P21" s="1"/>
      <c r="Q21" s="2">
        <v>94</v>
      </c>
      <c r="R21" s="2"/>
      <c r="S21" s="2"/>
      <c r="T21" s="2">
        <v>12</v>
      </c>
      <c r="U21" s="2">
        <v>0.51</v>
      </c>
      <c r="V21" s="2"/>
      <c r="W21" s="2"/>
      <c r="X21" s="2">
        <v>32</v>
      </c>
      <c r="Y21" s="2">
        <v>1</v>
      </c>
      <c r="Z21" s="2"/>
      <c r="AA21" s="5">
        <v>0.29699999999999999</v>
      </c>
      <c r="AB21" s="6">
        <v>8.3199999999999996E-2</v>
      </c>
      <c r="AC21" s="5">
        <v>4.7800000000000002E-2</v>
      </c>
      <c r="AD21" s="5">
        <v>4.1799999999999997E-2</v>
      </c>
      <c r="AE21" s="5">
        <v>4.3299999999999998E-2</v>
      </c>
      <c r="AF21" s="5">
        <v>0.39800000000000002</v>
      </c>
      <c r="AG21" s="5"/>
      <c r="AH21" s="5">
        <v>0.22</v>
      </c>
      <c r="AI21" s="5">
        <v>3.6999999999999998E-2</v>
      </c>
      <c r="AJ21" s="5">
        <v>1.7399999999999999E-2</v>
      </c>
      <c r="AK21" s="5">
        <v>5.1499999999999997E-2</v>
      </c>
      <c r="AL21" s="12">
        <f t="shared" si="0"/>
        <v>0.67410000000000003</v>
      </c>
      <c r="AM21" s="12"/>
      <c r="AN21" s="13">
        <v>0.35519999999999996</v>
      </c>
      <c r="AO21" s="13">
        <v>0.629</v>
      </c>
      <c r="AP21" s="13">
        <v>4.7999999999999996E-3</v>
      </c>
      <c r="AQ21" s="14">
        <v>0</v>
      </c>
      <c r="AR21" s="14"/>
      <c r="AS21" s="10">
        <v>0.247</v>
      </c>
      <c r="AT21" s="10"/>
      <c r="AU21" s="5">
        <v>0.60499999999999998</v>
      </c>
      <c r="AV21" s="5">
        <v>0.59</v>
      </c>
      <c r="AW21" s="5">
        <v>0.308</v>
      </c>
      <c r="AX21" s="15">
        <v>0.29699999999999999</v>
      </c>
      <c r="AY21" s="15">
        <v>4.3099999999999999E-2</v>
      </c>
      <c r="AZ21" s="5">
        <v>0.21299999999999999</v>
      </c>
      <c r="BA21" s="8">
        <v>0.54600000000000004</v>
      </c>
      <c r="BB21" s="5">
        <v>0.34699999999999998</v>
      </c>
      <c r="BC21" s="23">
        <v>0.498</v>
      </c>
      <c r="BD21" s="22">
        <v>0.17299999999999999</v>
      </c>
      <c r="BE21" s="22"/>
      <c r="BF21" s="5">
        <v>0.97399999999999998</v>
      </c>
      <c r="BG21" s="5">
        <v>3.3999999999999998E-3</v>
      </c>
      <c r="BH21" s="5">
        <v>3.8999999999999998E-3</v>
      </c>
      <c r="BI21" s="5">
        <v>7.4999999999999997E-3</v>
      </c>
      <c r="BJ21" s="5">
        <v>9.9000000000000008E-3</v>
      </c>
      <c r="BK21" s="5"/>
      <c r="BL21">
        <v>59.699999999999996</v>
      </c>
      <c r="BM21">
        <v>25.3</v>
      </c>
      <c r="BN21">
        <v>6.69</v>
      </c>
      <c r="BO21">
        <v>8.27</v>
      </c>
      <c r="BP21">
        <v>14.799999999999999</v>
      </c>
      <c r="BQ21">
        <v>21.9</v>
      </c>
      <c r="BR21">
        <v>12.1</v>
      </c>
      <c r="BS21">
        <v>18.3</v>
      </c>
      <c r="BT21" s="5"/>
      <c r="BU21" s="2">
        <v>94</v>
      </c>
    </row>
    <row r="22" spans="1:73" x14ac:dyDescent="0.3">
      <c r="A22" s="3" t="s">
        <v>38</v>
      </c>
      <c r="B22" s="2" t="s">
        <v>19</v>
      </c>
      <c r="C22" s="3">
        <v>40</v>
      </c>
      <c r="D22" s="2">
        <v>29.24</v>
      </c>
      <c r="E22" s="2">
        <v>36</v>
      </c>
      <c r="F22" s="2">
        <v>53</v>
      </c>
      <c r="G22" s="2">
        <v>87</v>
      </c>
      <c r="H22" s="2">
        <v>0.64</v>
      </c>
      <c r="I22" s="2">
        <v>7</v>
      </c>
      <c r="J22" s="2">
        <v>4.2</v>
      </c>
      <c r="K22" s="2"/>
      <c r="L22" s="2"/>
      <c r="M22" s="2">
        <v>212</v>
      </c>
      <c r="N22" s="1"/>
      <c r="O22" s="1"/>
      <c r="P22" s="1"/>
      <c r="Q22" s="2">
        <v>103</v>
      </c>
      <c r="R22" s="2"/>
      <c r="S22" s="2"/>
      <c r="T22" s="2">
        <v>11.3</v>
      </c>
      <c r="U22" s="2">
        <v>0.83</v>
      </c>
      <c r="V22" s="2"/>
      <c r="W22" s="2"/>
      <c r="X22" s="2">
        <v>67</v>
      </c>
      <c r="Y22" s="2">
        <v>12.21</v>
      </c>
      <c r="Z22" s="2"/>
      <c r="AA22" s="5">
        <v>2.3699999999999999E-2</v>
      </c>
      <c r="AB22" s="6">
        <v>0.26900000000000002</v>
      </c>
      <c r="AC22" s="5">
        <v>3.9399999999999998E-2</v>
      </c>
      <c r="AD22" s="5">
        <v>3.3700000000000001E-2</v>
      </c>
      <c r="AE22" s="5">
        <v>8.3000000000000001E-3</v>
      </c>
      <c r="AF22" s="5">
        <v>0.52400000000000002</v>
      </c>
      <c r="AG22" s="5"/>
      <c r="AS22" s="5">
        <v>0.39050000000000001</v>
      </c>
      <c r="AT22" s="5"/>
      <c r="BF22" s="5">
        <v>0.86699999999999999</v>
      </c>
      <c r="BG22" s="5">
        <v>1.7399999999999999E-2</v>
      </c>
      <c r="BH22" s="5">
        <v>1.1599999999999999E-2</v>
      </c>
      <c r="BI22" s="5">
        <v>7.0999999999999994E-2</v>
      </c>
      <c r="BJ22" s="5">
        <v>2.3199999999999998E-2</v>
      </c>
      <c r="BK22" s="5"/>
      <c r="BL22">
        <v>72.8</v>
      </c>
      <c r="BM22">
        <v>20.9</v>
      </c>
      <c r="BN22">
        <v>1.8499999999999999</v>
      </c>
      <c r="BO22">
        <v>4.38</v>
      </c>
      <c r="BP22">
        <v>20.9</v>
      </c>
      <c r="BQ22">
        <v>25.7</v>
      </c>
      <c r="BR22">
        <v>15.6</v>
      </c>
      <c r="BS22">
        <v>11.200000000000001</v>
      </c>
      <c r="BT22" s="5"/>
      <c r="BU22" s="2">
        <v>103</v>
      </c>
    </row>
    <row r="23" spans="1:73" x14ac:dyDescent="0.3">
      <c r="A23" s="3" t="s">
        <v>39</v>
      </c>
      <c r="B23" s="2" t="s">
        <v>17</v>
      </c>
      <c r="C23" s="3">
        <v>73</v>
      </c>
      <c r="D23" s="2">
        <v>25.37</v>
      </c>
      <c r="E23" s="2">
        <v>22</v>
      </c>
      <c r="F23" s="2">
        <v>11</v>
      </c>
      <c r="G23" s="2">
        <v>47</v>
      </c>
      <c r="H23" s="2">
        <v>0.41</v>
      </c>
      <c r="I23" s="2">
        <v>7.2</v>
      </c>
      <c r="J23" s="2">
        <v>4.4000000000000004</v>
      </c>
      <c r="K23" s="2"/>
      <c r="L23" s="2"/>
      <c r="M23" s="2">
        <v>139</v>
      </c>
      <c r="N23" s="1"/>
      <c r="O23" s="1"/>
      <c r="P23" s="1"/>
      <c r="Q23" s="2">
        <v>109</v>
      </c>
      <c r="R23" s="2"/>
      <c r="S23" s="2"/>
      <c r="T23" s="2">
        <v>24.2</v>
      </c>
      <c r="U23" s="2">
        <v>0.83</v>
      </c>
      <c r="V23" s="2"/>
      <c r="W23" s="2"/>
      <c r="X23" s="2">
        <v>50</v>
      </c>
      <c r="Y23" s="2"/>
      <c r="Z23" s="2"/>
      <c r="AA23" s="5">
        <v>0.245</v>
      </c>
      <c r="AB23" s="6">
        <v>7.0699999999999999E-2</v>
      </c>
      <c r="AC23" s="5">
        <v>1.9599999999999999E-2</v>
      </c>
      <c r="AD23" s="5">
        <v>0.14699999999999999</v>
      </c>
      <c r="AE23" s="5">
        <v>0.02</v>
      </c>
      <c r="AF23" s="5">
        <v>0.40200000000000002</v>
      </c>
      <c r="AG23" s="5"/>
      <c r="AS23" s="5">
        <v>0.379</v>
      </c>
      <c r="AT23" s="5"/>
      <c r="BF23" s="5">
        <v>0.97</v>
      </c>
      <c r="BG23" s="5">
        <v>2.8E-3</v>
      </c>
      <c r="BH23" s="5">
        <v>2.7999999999999998E-4</v>
      </c>
      <c r="BI23" s="5">
        <v>3.5999999999999999E-3</v>
      </c>
      <c r="BJ23" s="5">
        <v>2.1100000000000001E-2</v>
      </c>
      <c r="BK23" s="5"/>
      <c r="BL23">
        <v>56.399999999999991</v>
      </c>
      <c r="BM23">
        <v>23.200000000000003</v>
      </c>
      <c r="BN23">
        <v>14.499999999999998</v>
      </c>
      <c r="BO23">
        <v>5.86</v>
      </c>
      <c r="BP23">
        <v>12.1</v>
      </c>
      <c r="BQ23">
        <v>32</v>
      </c>
      <c r="BR23">
        <v>16.8</v>
      </c>
      <c r="BS23">
        <v>16.100000000000001</v>
      </c>
      <c r="BT23" s="5"/>
      <c r="BU23" s="2">
        <v>109</v>
      </c>
    </row>
    <row r="24" spans="1:73" x14ac:dyDescent="0.3">
      <c r="A24" s="1">
        <v>5</v>
      </c>
      <c r="B24" s="1" t="s">
        <v>17</v>
      </c>
      <c r="C24" s="1">
        <v>29</v>
      </c>
      <c r="D24" s="4">
        <v>23.77</v>
      </c>
      <c r="E24" s="1">
        <v>17</v>
      </c>
      <c r="F24" s="1">
        <v>7</v>
      </c>
      <c r="G24" s="1">
        <v>45</v>
      </c>
      <c r="H24" s="1">
        <v>0.3</v>
      </c>
      <c r="I24" s="1"/>
      <c r="J24" s="1">
        <v>4.0999999999999996</v>
      </c>
      <c r="K24" s="1">
        <v>106.6</v>
      </c>
      <c r="L24" s="1">
        <v>28.2</v>
      </c>
      <c r="M24" s="1">
        <v>207</v>
      </c>
      <c r="N24" s="1">
        <v>462</v>
      </c>
      <c r="O24" s="1">
        <v>105</v>
      </c>
      <c r="P24" s="1">
        <v>38</v>
      </c>
      <c r="Q24" s="1"/>
      <c r="R24" s="1">
        <v>104</v>
      </c>
      <c r="S24" s="1">
        <v>5.0999999999999996</v>
      </c>
      <c r="T24" s="1">
        <v>25</v>
      </c>
      <c r="U24" s="1">
        <v>0.77</v>
      </c>
      <c r="V24" s="1">
        <v>98</v>
      </c>
      <c r="W24" s="1">
        <v>107</v>
      </c>
      <c r="X24" s="1"/>
      <c r="Y24" s="1"/>
      <c r="Z24" s="1"/>
      <c r="AA24" s="8">
        <v>6.3E-3</v>
      </c>
      <c r="AB24" s="8">
        <v>7.3300000000000004E-2</v>
      </c>
      <c r="AC24" s="8">
        <v>7.0000000000000007E-2</v>
      </c>
      <c r="AD24" s="8">
        <v>0.11799999999999999</v>
      </c>
      <c r="AE24" s="8">
        <v>3.0200000000000001E-2</v>
      </c>
      <c r="AF24" s="8">
        <v>0.52100000000000002</v>
      </c>
      <c r="AG24" s="8"/>
      <c r="AH24" s="5">
        <v>7.46E-2</v>
      </c>
      <c r="AI24" s="5">
        <v>2.3300000000000001E-2</v>
      </c>
      <c r="AJ24" s="5">
        <v>8.5000000000000006E-3</v>
      </c>
      <c r="AK24" s="5">
        <v>8.1000000000000003E-2</v>
      </c>
      <c r="AL24" s="12">
        <f>100%-(AH24+AI24+AJ24+AK24)</f>
        <v>0.81259999999999999</v>
      </c>
      <c r="AM24" s="12"/>
      <c r="AN24" s="5">
        <v>0.20204159999999999</v>
      </c>
      <c r="AO24" s="5">
        <v>0.69099999999999995</v>
      </c>
      <c r="AP24" s="5">
        <v>1.9583999999999999E-3</v>
      </c>
      <c r="AQ24" s="5">
        <v>1.6199999999999999E-2</v>
      </c>
      <c r="AR24" s="5"/>
      <c r="AS24" s="10">
        <v>0.32350000000000001</v>
      </c>
      <c r="AT24" s="10"/>
      <c r="AU24" s="5">
        <v>0.745</v>
      </c>
      <c r="AV24" s="5">
        <v>0.45100000000000001</v>
      </c>
      <c r="AW24" s="5">
        <v>0.61799999999999999</v>
      </c>
      <c r="AX24" s="5">
        <v>0.25</v>
      </c>
      <c r="AY24" s="5">
        <v>0.39800000000000002</v>
      </c>
      <c r="AZ24" s="5">
        <v>0.68899999999999995</v>
      </c>
      <c r="BA24" s="5">
        <v>0.51800000000000002</v>
      </c>
      <c r="BB24" s="5">
        <v>0.36399999999999999</v>
      </c>
      <c r="BC24" s="5">
        <v>0.15</v>
      </c>
      <c r="BD24" s="22">
        <v>0.51800000000000002</v>
      </c>
      <c r="BE24" s="22"/>
      <c r="BF24" s="5">
        <v>0.94299999999999995</v>
      </c>
      <c r="BG24" s="5">
        <v>2.8299999999999999E-2</v>
      </c>
      <c r="BH24" s="11">
        <v>0</v>
      </c>
      <c r="BI24" s="5">
        <v>2.86E-2</v>
      </c>
      <c r="BJ24" s="17">
        <v>0</v>
      </c>
      <c r="BK24" s="17"/>
      <c r="BL24">
        <v>72.7</v>
      </c>
      <c r="BM24">
        <v>22.3</v>
      </c>
      <c r="BN24">
        <v>1.9</v>
      </c>
      <c r="BO24">
        <v>3.08</v>
      </c>
      <c r="BP24">
        <v>5.7700000000000005</v>
      </c>
      <c r="BQ24">
        <v>5.1400000000000006</v>
      </c>
      <c r="BR24">
        <v>10</v>
      </c>
      <c r="BS24">
        <v>0</v>
      </c>
      <c r="BT24" s="11"/>
      <c r="BU24" s="1">
        <v>104</v>
      </c>
    </row>
    <row r="25" spans="1:73" x14ac:dyDescent="0.3">
      <c r="A25" s="1">
        <v>6</v>
      </c>
      <c r="B25" s="1" t="s">
        <v>19</v>
      </c>
      <c r="C25" s="1">
        <v>58</v>
      </c>
      <c r="D25" s="4">
        <v>24.91</v>
      </c>
      <c r="E25" s="1">
        <v>17</v>
      </c>
      <c r="F25" s="1">
        <v>16</v>
      </c>
      <c r="G25" s="1">
        <v>76</v>
      </c>
      <c r="H25" s="1">
        <v>0.7</v>
      </c>
      <c r="I25" s="1"/>
      <c r="J25" s="1">
        <v>3.8</v>
      </c>
      <c r="K25" s="1">
        <v>95.6</v>
      </c>
      <c r="L25" s="1">
        <v>27.2</v>
      </c>
      <c r="M25" s="1">
        <v>170</v>
      </c>
      <c r="N25" s="1">
        <v>86</v>
      </c>
      <c r="O25" s="1">
        <v>100</v>
      </c>
      <c r="P25" s="1">
        <v>66</v>
      </c>
      <c r="Q25" s="1"/>
      <c r="R25" s="1">
        <v>97</v>
      </c>
      <c r="S25" s="1">
        <v>5.8</v>
      </c>
      <c r="T25" s="1">
        <v>22</v>
      </c>
      <c r="U25" s="1">
        <v>0.61</v>
      </c>
      <c r="V25" s="1">
        <v>92</v>
      </c>
      <c r="W25" s="1">
        <v>84.6</v>
      </c>
      <c r="X25" s="1"/>
      <c r="Y25" s="1"/>
      <c r="Z25" s="1"/>
      <c r="AA25" s="8">
        <v>6.4000000000000003E-3</v>
      </c>
      <c r="AB25" s="8">
        <v>2.18E-2</v>
      </c>
      <c r="AC25" s="8">
        <v>3.4200000000000001E-2</v>
      </c>
      <c r="AD25" s="8">
        <v>0.27400000000000002</v>
      </c>
      <c r="AE25" s="8">
        <v>6.3500000000000001E-2</v>
      </c>
      <c r="AF25" s="8">
        <v>0.39400000000000002</v>
      </c>
      <c r="AG25" s="8"/>
      <c r="AH25" s="10">
        <v>0.21</v>
      </c>
      <c r="AI25" s="5">
        <v>4.4400000000000002E-2</v>
      </c>
      <c r="AJ25" s="5">
        <v>8.2000000000000007E-3</v>
      </c>
      <c r="AK25" s="5">
        <v>0.10199999999999999</v>
      </c>
      <c r="AL25" s="12">
        <f t="shared" ref="AL25:AL45" si="1">100%-(AH25+AI25+AJ25+AK25)</f>
        <v>0.63539999999999996</v>
      </c>
      <c r="AM25" s="12"/>
      <c r="AN25" s="5">
        <v>0.44493660000000002</v>
      </c>
      <c r="AO25" s="5">
        <v>0.374</v>
      </c>
      <c r="AP25" s="5">
        <v>8.0634000000000001E-3</v>
      </c>
      <c r="AQ25" s="5">
        <v>1.9300000000000001E-2</v>
      </c>
      <c r="AR25" s="5"/>
      <c r="AS25" s="10">
        <v>0.4365</v>
      </c>
      <c r="AT25" s="10"/>
      <c r="AU25" s="5">
        <v>0.27600000000000002</v>
      </c>
      <c r="AV25" s="5">
        <v>0.45100000000000001</v>
      </c>
      <c r="AW25" s="5">
        <v>0.28899999999999998</v>
      </c>
      <c r="AX25" s="5">
        <v>0.5</v>
      </c>
      <c r="AY25" s="5">
        <v>0.33300000000000002</v>
      </c>
      <c r="AZ25" s="5">
        <v>0.32500000000000001</v>
      </c>
      <c r="BA25" s="5">
        <v>0.65400000000000003</v>
      </c>
      <c r="BB25" s="5">
        <v>0.70399999999999996</v>
      </c>
      <c r="BC25" s="5">
        <v>0.96399999999999997</v>
      </c>
      <c r="BD25" s="22">
        <v>0.86799999999999999</v>
      </c>
      <c r="BE25" s="22"/>
      <c r="BF25" s="5">
        <v>0.8669</v>
      </c>
      <c r="BG25" s="5">
        <v>1.0200000000000001E-2</v>
      </c>
      <c r="BH25" s="5">
        <v>6.6299999999999998E-2</v>
      </c>
      <c r="BI25" s="18">
        <v>5.1000000000000004E-3</v>
      </c>
      <c r="BJ25" s="8">
        <v>5.1040000000000002E-2</v>
      </c>
      <c r="BK25" s="8"/>
      <c r="BL25">
        <v>53.6</v>
      </c>
      <c r="BM25">
        <v>28.7</v>
      </c>
      <c r="BN25">
        <v>4.25</v>
      </c>
      <c r="BO25">
        <v>13.4</v>
      </c>
      <c r="BP25">
        <v>5.9799999999999995</v>
      </c>
      <c r="BQ25">
        <v>10.7</v>
      </c>
      <c r="BR25">
        <v>4.26</v>
      </c>
      <c r="BS25">
        <v>5.3100000000000005</v>
      </c>
      <c r="BT25" s="5"/>
      <c r="BU25" s="1">
        <v>97</v>
      </c>
    </row>
    <row r="26" spans="1:73" x14ac:dyDescent="0.3">
      <c r="A26" s="1">
        <v>7</v>
      </c>
      <c r="B26" s="1" t="s">
        <v>19</v>
      </c>
      <c r="C26" s="1">
        <v>22</v>
      </c>
      <c r="D26" s="4">
        <v>19.75</v>
      </c>
      <c r="E26" s="1">
        <v>14</v>
      </c>
      <c r="F26" s="1">
        <v>24</v>
      </c>
      <c r="G26" s="1">
        <v>79</v>
      </c>
      <c r="H26" s="1">
        <v>0.9</v>
      </c>
      <c r="I26" s="1"/>
      <c r="J26" s="1">
        <v>4.2</v>
      </c>
      <c r="K26" s="1">
        <v>122.3</v>
      </c>
      <c r="L26" s="1">
        <v>24.1</v>
      </c>
      <c r="M26" s="1">
        <v>135</v>
      </c>
      <c r="N26" s="1">
        <v>81</v>
      </c>
      <c r="O26" s="1">
        <v>89</v>
      </c>
      <c r="P26" s="1">
        <v>44</v>
      </c>
      <c r="Q26" s="1"/>
      <c r="R26" s="1">
        <v>91</v>
      </c>
      <c r="S26" s="1">
        <v>5.7</v>
      </c>
      <c r="T26" s="1">
        <v>5</v>
      </c>
      <c r="U26" s="1">
        <v>0.62</v>
      </c>
      <c r="V26" s="1">
        <v>116</v>
      </c>
      <c r="W26" s="1">
        <v>127.4</v>
      </c>
      <c r="X26" s="1"/>
      <c r="Y26" s="1"/>
      <c r="Z26" s="1"/>
      <c r="AA26" s="8">
        <v>1.34E-2</v>
      </c>
      <c r="AB26" s="8">
        <v>0.16500000000000001</v>
      </c>
      <c r="AC26" s="8">
        <v>5.1499999999999997E-2</v>
      </c>
      <c r="AD26" s="8">
        <v>0.13</v>
      </c>
      <c r="AE26" s="8">
        <v>4.0099999999999997E-2</v>
      </c>
      <c r="AF26" s="8">
        <v>0.35299999999999998</v>
      </c>
      <c r="AG26" s="8"/>
      <c r="AH26" s="5">
        <v>0.14699999999999999</v>
      </c>
      <c r="AI26" s="5">
        <v>3.1199999999999999E-2</v>
      </c>
      <c r="AJ26" s="5">
        <v>6.4999999999999997E-4</v>
      </c>
      <c r="AK26" s="5">
        <v>2.6599999999999999E-2</v>
      </c>
      <c r="AL26" s="12">
        <f t="shared" si="1"/>
        <v>0.79454999999999998</v>
      </c>
      <c r="AM26" s="12"/>
      <c r="AN26" s="5">
        <v>0.376</v>
      </c>
      <c r="AO26" s="5">
        <v>0.54200000000000004</v>
      </c>
      <c r="AP26" s="11">
        <v>0</v>
      </c>
      <c r="AQ26" s="5">
        <v>7.2999999999999996E-4</v>
      </c>
      <c r="AR26" s="5"/>
      <c r="AS26" s="10">
        <v>0.4375</v>
      </c>
      <c r="AT26" s="10"/>
      <c r="AU26" s="5">
        <v>0.76500000000000001</v>
      </c>
      <c r="AV26" s="5">
        <v>0.81100000000000005</v>
      </c>
      <c r="AW26" s="5">
        <v>0.77100000000000002</v>
      </c>
      <c r="AY26" s="5">
        <v>0.58499999999999996</v>
      </c>
      <c r="AZ26" s="5">
        <v>0.5</v>
      </c>
      <c r="BA26" s="5">
        <v>0.84599999999999997</v>
      </c>
      <c r="BB26" s="5">
        <v>0.20799999999999999</v>
      </c>
      <c r="BD26" s="22">
        <v>0.70699999999999996</v>
      </c>
      <c r="BE26" s="22"/>
      <c r="BF26" s="5">
        <v>0.74280000000000002</v>
      </c>
      <c r="BG26" s="5">
        <v>1.3899999999999999E-2</v>
      </c>
      <c r="BH26" s="5">
        <v>2.0799999999999999E-2</v>
      </c>
      <c r="BI26" s="5">
        <v>0.11799999999999999</v>
      </c>
      <c r="BJ26" s="8">
        <v>0.1041</v>
      </c>
      <c r="BK26" s="8"/>
      <c r="BL26">
        <v>66.100000000000009</v>
      </c>
      <c r="BM26">
        <v>22.900000000000002</v>
      </c>
      <c r="BN26">
        <v>2.5700000000000003</v>
      </c>
      <c r="BO26">
        <v>8.43</v>
      </c>
      <c r="BP26">
        <v>1.1499999999999999</v>
      </c>
      <c r="BQ26">
        <v>5.62</v>
      </c>
      <c r="BR26">
        <v>6.05</v>
      </c>
      <c r="BS26">
        <v>0.67</v>
      </c>
      <c r="BT26" s="5"/>
      <c r="BU26" s="1">
        <v>91</v>
      </c>
    </row>
    <row r="27" spans="1:73" x14ac:dyDescent="0.3">
      <c r="A27" s="1">
        <v>8</v>
      </c>
      <c r="B27" s="1" t="s">
        <v>19</v>
      </c>
      <c r="C27" s="1">
        <v>51</v>
      </c>
      <c r="D27" s="4">
        <v>24.84</v>
      </c>
      <c r="E27" s="1">
        <v>19</v>
      </c>
      <c r="F27" s="1">
        <v>18</v>
      </c>
      <c r="G27" s="1">
        <v>108</v>
      </c>
      <c r="H27" s="1">
        <v>0.4</v>
      </c>
      <c r="I27" s="1"/>
      <c r="J27" s="1">
        <v>4.5</v>
      </c>
      <c r="K27" s="1">
        <v>105</v>
      </c>
      <c r="L27" s="1">
        <v>25.3</v>
      </c>
      <c r="M27" s="1">
        <v>198</v>
      </c>
      <c r="N27" s="1">
        <v>58</v>
      </c>
      <c r="O27" s="1">
        <v>140</v>
      </c>
      <c r="P27" s="1">
        <v>62</v>
      </c>
      <c r="Q27" s="1"/>
      <c r="R27" s="1">
        <v>86</v>
      </c>
      <c r="S27" s="1">
        <v>5.5</v>
      </c>
      <c r="T27" s="1">
        <v>15</v>
      </c>
      <c r="U27" s="1">
        <v>0.75</v>
      </c>
      <c r="V27" s="1">
        <v>101</v>
      </c>
      <c r="W27" s="1">
        <v>130.4</v>
      </c>
      <c r="X27" s="1"/>
      <c r="Y27" s="1"/>
      <c r="Z27" s="1"/>
      <c r="AA27" s="8">
        <v>4.1999999999999997E-3</v>
      </c>
      <c r="AB27" s="8">
        <v>4.6800000000000001E-2</v>
      </c>
      <c r="AC27" s="8">
        <v>3.5099999999999999E-2</v>
      </c>
      <c r="AD27" s="8">
        <v>0.14499999999999999</v>
      </c>
      <c r="AE27" s="8">
        <v>3.2300000000000002E-2</v>
      </c>
      <c r="AF27" s="8">
        <v>0.51800000000000002</v>
      </c>
      <c r="AG27" s="8"/>
      <c r="AH27" s="5">
        <v>0.106</v>
      </c>
      <c r="AI27" s="5">
        <v>2.93E-2</v>
      </c>
      <c r="AJ27" s="5">
        <v>1.9E-3</v>
      </c>
      <c r="AK27" s="5">
        <v>3.7000000000000002E-3</v>
      </c>
      <c r="AL27" s="12">
        <f t="shared" si="1"/>
        <v>0.85909999999999997</v>
      </c>
      <c r="AM27" s="12"/>
      <c r="AN27" s="5">
        <v>0.33406200000000003</v>
      </c>
      <c r="AO27" s="5">
        <v>0.62</v>
      </c>
      <c r="AP27" s="5">
        <v>9.3800000000000003E-4</v>
      </c>
      <c r="AQ27" s="5">
        <v>5.7999999999999996E-3</v>
      </c>
      <c r="AR27" s="5"/>
      <c r="AS27" s="10">
        <v>0.39800000000000002</v>
      </c>
      <c r="AT27" s="10"/>
      <c r="AU27" s="5">
        <v>0.629</v>
      </c>
      <c r="AV27" s="5">
        <v>0.54700000000000004</v>
      </c>
      <c r="AW27" s="5">
        <v>0.36199999999999999</v>
      </c>
      <c r="AY27" s="5">
        <v>0.51700000000000002</v>
      </c>
      <c r="AZ27" s="5">
        <v>0.38900000000000001</v>
      </c>
      <c r="BA27" s="5">
        <v>0.629</v>
      </c>
      <c r="BB27" s="5">
        <v>0.63800000000000001</v>
      </c>
      <c r="BD27" s="22">
        <v>0.89700000000000002</v>
      </c>
      <c r="BE27" s="22"/>
      <c r="BF27" s="5">
        <v>0.68359999999999999</v>
      </c>
      <c r="BG27" s="5">
        <v>4.8800000000000003E-2</v>
      </c>
      <c r="BH27" s="5">
        <v>0.10199999999999999</v>
      </c>
      <c r="BI27" s="5">
        <v>4.3900000000000002E-2</v>
      </c>
      <c r="BJ27" s="8">
        <v>0.1211</v>
      </c>
      <c r="BK27" s="8"/>
      <c r="BL27">
        <v>63.1</v>
      </c>
      <c r="BM27">
        <v>26.5</v>
      </c>
      <c r="BN27">
        <v>2.1</v>
      </c>
      <c r="BO27">
        <v>8.27</v>
      </c>
      <c r="BP27">
        <v>0.42</v>
      </c>
      <c r="BQ27">
        <v>2.7199999999999998</v>
      </c>
      <c r="BR27">
        <v>2.3800000000000003</v>
      </c>
      <c r="BS27">
        <v>0</v>
      </c>
      <c r="BT27" s="11"/>
      <c r="BU27" s="1">
        <v>86</v>
      </c>
    </row>
    <row r="28" spans="1:73" x14ac:dyDescent="0.3">
      <c r="A28" s="1">
        <v>9</v>
      </c>
      <c r="B28" s="1" t="s">
        <v>17</v>
      </c>
      <c r="C28" s="1">
        <v>67</v>
      </c>
      <c r="D28" s="4">
        <v>25.82</v>
      </c>
      <c r="E28" s="1">
        <v>19</v>
      </c>
      <c r="F28" s="1">
        <v>15</v>
      </c>
      <c r="G28" s="1">
        <v>79</v>
      </c>
      <c r="H28" s="1">
        <v>0.4</v>
      </c>
      <c r="I28" s="1"/>
      <c r="J28" s="1">
        <v>4.2</v>
      </c>
      <c r="K28" s="1">
        <v>100.2</v>
      </c>
      <c r="L28" s="1">
        <v>28.5</v>
      </c>
      <c r="M28" s="1">
        <v>214</v>
      </c>
      <c r="N28" s="1">
        <v>57</v>
      </c>
      <c r="O28" s="1">
        <v>150</v>
      </c>
      <c r="P28" s="1">
        <v>59</v>
      </c>
      <c r="Q28" s="1"/>
      <c r="R28" s="1">
        <v>89</v>
      </c>
      <c r="S28" s="1">
        <v>5</v>
      </c>
      <c r="T28" s="1">
        <v>10</v>
      </c>
      <c r="U28" s="1">
        <v>0.86</v>
      </c>
      <c r="V28" s="1">
        <v>118</v>
      </c>
      <c r="W28" s="1">
        <v>77.8</v>
      </c>
      <c r="X28" s="1"/>
      <c r="Y28" s="1"/>
      <c r="Z28" s="1"/>
      <c r="AA28" s="8">
        <v>6.4000000000000003E-3</v>
      </c>
      <c r="AB28" s="8">
        <v>0.187</v>
      </c>
      <c r="AC28" s="8">
        <v>4.7600000000000003E-2</v>
      </c>
      <c r="AD28" s="8">
        <v>9.0200000000000002E-2</v>
      </c>
      <c r="AE28" s="8">
        <v>8.8999999999999999E-3</v>
      </c>
      <c r="AF28" s="8">
        <v>0.36499999999999999</v>
      </c>
      <c r="AG28" s="8"/>
      <c r="AH28" s="5">
        <v>0.104</v>
      </c>
      <c r="AI28" s="5">
        <v>3.2399999999999998E-2</v>
      </c>
      <c r="AJ28" s="5">
        <v>4.0999999999999999E-4</v>
      </c>
      <c r="AK28" s="5">
        <v>1.04E-2</v>
      </c>
      <c r="AL28" s="12">
        <f t="shared" si="1"/>
        <v>0.85279000000000005</v>
      </c>
      <c r="AM28" s="12"/>
      <c r="AN28" s="5">
        <v>0.21613199999999999</v>
      </c>
      <c r="AO28" s="5">
        <v>0.69799999999999995</v>
      </c>
      <c r="AP28" s="5">
        <v>8.6800000000000006E-4</v>
      </c>
      <c r="AQ28" s="5">
        <v>5.1999999999999998E-3</v>
      </c>
      <c r="AR28" s="5"/>
      <c r="AS28" s="10">
        <v>0.372</v>
      </c>
      <c r="AT28" s="10"/>
      <c r="AU28" s="5">
        <v>0.57899999999999996</v>
      </c>
      <c r="AV28" s="5">
        <v>0.25600000000000001</v>
      </c>
      <c r="AW28" s="5">
        <v>0.42099999999999999</v>
      </c>
      <c r="AY28" s="5">
        <v>0.43099999999999999</v>
      </c>
      <c r="AZ28" s="5">
        <v>0.53500000000000003</v>
      </c>
      <c r="BA28" s="5">
        <v>0.38500000000000001</v>
      </c>
      <c r="BB28" s="5">
        <v>0.56000000000000005</v>
      </c>
      <c r="BD28" s="22">
        <v>0.82399999999999995</v>
      </c>
      <c r="BE28" s="22"/>
      <c r="BF28" s="5">
        <v>0.61860000000000004</v>
      </c>
      <c r="BG28" s="5">
        <v>5.0799999999999998E-2</v>
      </c>
      <c r="BH28" s="5">
        <v>0.13700000000000001</v>
      </c>
      <c r="BI28" s="5">
        <v>0.14899999999999999</v>
      </c>
      <c r="BJ28" s="8">
        <v>2.53E-2</v>
      </c>
      <c r="BK28" s="8"/>
      <c r="BL28">
        <v>84.399999999999991</v>
      </c>
      <c r="BM28">
        <v>13.4</v>
      </c>
      <c r="BN28">
        <v>0.42</v>
      </c>
      <c r="BO28">
        <v>1.73</v>
      </c>
      <c r="BP28">
        <v>1.54</v>
      </c>
      <c r="BQ28">
        <v>5.0500000000000007</v>
      </c>
      <c r="BR28">
        <v>3.18</v>
      </c>
      <c r="BS28">
        <v>0.41000000000000003</v>
      </c>
      <c r="BT28" s="5"/>
      <c r="BU28" s="1">
        <v>89</v>
      </c>
    </row>
    <row r="29" spans="1:73" x14ac:dyDescent="0.3">
      <c r="A29" s="1">
        <v>10</v>
      </c>
      <c r="B29" s="1" t="s">
        <v>19</v>
      </c>
      <c r="C29" s="1">
        <v>62</v>
      </c>
      <c r="D29" s="4">
        <v>23.75</v>
      </c>
      <c r="E29" s="1">
        <v>19</v>
      </c>
      <c r="F29" s="1">
        <v>14</v>
      </c>
      <c r="G29" s="1">
        <v>49</v>
      </c>
      <c r="H29" s="1">
        <v>0.6</v>
      </c>
      <c r="I29" s="1"/>
      <c r="J29" s="1">
        <v>3.5</v>
      </c>
      <c r="K29" s="1">
        <v>107.8</v>
      </c>
      <c r="L29" s="1">
        <v>28.1</v>
      </c>
      <c r="M29" s="1">
        <v>196</v>
      </c>
      <c r="N29" s="1">
        <v>77</v>
      </c>
      <c r="O29" s="1">
        <v>145</v>
      </c>
      <c r="P29" s="1">
        <v>44</v>
      </c>
      <c r="Q29" s="1"/>
      <c r="R29" s="1">
        <v>89</v>
      </c>
      <c r="S29" s="1">
        <v>5.5</v>
      </c>
      <c r="T29" s="1">
        <v>16</v>
      </c>
      <c r="U29" s="1">
        <v>0.75</v>
      </c>
      <c r="V29" s="1">
        <v>86</v>
      </c>
      <c r="W29" s="1">
        <v>91.9</v>
      </c>
      <c r="X29" s="1"/>
      <c r="Y29" s="1"/>
      <c r="Z29" s="1"/>
      <c r="AA29" s="8">
        <v>4.5999999999999999E-3</v>
      </c>
      <c r="AB29" s="8">
        <v>6.9800000000000001E-2</v>
      </c>
      <c r="AC29" s="8">
        <v>5.2600000000000001E-2</v>
      </c>
      <c r="AD29" s="8">
        <v>7.4300000000000005E-2</v>
      </c>
      <c r="AE29" s="8">
        <v>2.18E-2</v>
      </c>
      <c r="AF29" s="8">
        <v>0.48599999999999999</v>
      </c>
      <c r="AG29" s="8"/>
      <c r="AH29" s="5">
        <v>7.7700000000000005E-2</v>
      </c>
      <c r="AI29" s="5">
        <v>1.47E-2</v>
      </c>
      <c r="AJ29" s="5">
        <v>1.4E-3</v>
      </c>
      <c r="AK29" s="5">
        <v>1.78E-2</v>
      </c>
      <c r="AL29" s="12">
        <f t="shared" si="1"/>
        <v>0.88839999999999997</v>
      </c>
      <c r="AM29" s="12"/>
      <c r="AN29" s="5">
        <v>0.31337199999999998</v>
      </c>
      <c r="AO29" s="5">
        <v>0.63800000000000001</v>
      </c>
      <c r="AP29" s="5">
        <v>6.2799999999999998E-4</v>
      </c>
      <c r="AQ29" s="5">
        <v>3.3999999999999998E-3</v>
      </c>
      <c r="AR29" s="5"/>
      <c r="AS29" s="10">
        <v>0.255</v>
      </c>
      <c r="AT29" s="10"/>
      <c r="AU29" s="5">
        <v>0.68200000000000005</v>
      </c>
      <c r="AV29" s="5">
        <v>0.39600000000000002</v>
      </c>
      <c r="AW29" s="5">
        <v>0.65400000000000003</v>
      </c>
      <c r="AX29" s="5">
        <v>0.379</v>
      </c>
      <c r="AY29" s="5">
        <v>0.23699999999999999</v>
      </c>
      <c r="AZ29" s="5">
        <v>0.31900000000000001</v>
      </c>
      <c r="BA29" s="5">
        <v>0.432</v>
      </c>
      <c r="BB29" s="5">
        <v>0.34200000000000003</v>
      </c>
      <c r="BC29" s="5">
        <v>0.24099999999999999</v>
      </c>
      <c r="BD29" s="22">
        <v>0.20899999999999999</v>
      </c>
      <c r="BE29" s="22"/>
      <c r="BF29" s="5">
        <v>0.44519999999999998</v>
      </c>
      <c r="BG29" s="5">
        <v>3.73E-2</v>
      </c>
      <c r="BH29" s="5">
        <v>0.14299999999999999</v>
      </c>
      <c r="BI29" s="5">
        <v>0.23</v>
      </c>
      <c r="BJ29" s="8">
        <v>0.14269999999999999</v>
      </c>
      <c r="BK29" s="8"/>
      <c r="BL29">
        <v>69.199999999999989</v>
      </c>
      <c r="BM29">
        <v>15.8</v>
      </c>
      <c r="BN29">
        <v>3.2</v>
      </c>
      <c r="BO29">
        <v>11.799999999999999</v>
      </c>
      <c r="BP29">
        <v>24.5</v>
      </c>
      <c r="BQ29">
        <v>33.6</v>
      </c>
      <c r="BR29">
        <v>8</v>
      </c>
      <c r="BS29">
        <v>12</v>
      </c>
      <c r="BT29" s="5"/>
      <c r="BU29" s="1">
        <v>89</v>
      </c>
    </row>
    <row r="30" spans="1:73" x14ac:dyDescent="0.3">
      <c r="A30" s="1">
        <v>11</v>
      </c>
      <c r="B30" s="1" t="s">
        <v>17</v>
      </c>
      <c r="C30" s="1">
        <v>40</v>
      </c>
      <c r="D30" s="4">
        <v>17.78</v>
      </c>
      <c r="E30" s="1">
        <v>13</v>
      </c>
      <c r="F30" s="1">
        <v>6</v>
      </c>
      <c r="G30" s="1">
        <v>43</v>
      </c>
      <c r="H30" s="1">
        <v>0.3</v>
      </c>
      <c r="I30" s="1"/>
      <c r="J30" s="1">
        <v>4</v>
      </c>
      <c r="K30" s="1">
        <v>83.8</v>
      </c>
      <c r="L30" s="1">
        <v>30.1</v>
      </c>
      <c r="M30" s="1">
        <v>176</v>
      </c>
      <c r="N30" s="1">
        <v>59</v>
      </c>
      <c r="O30" s="1">
        <v>100</v>
      </c>
      <c r="P30" s="1">
        <v>62</v>
      </c>
      <c r="Q30" s="1"/>
      <c r="R30" s="1">
        <v>73</v>
      </c>
      <c r="S30" s="1">
        <v>5.4</v>
      </c>
      <c r="T30" s="1">
        <v>9</v>
      </c>
      <c r="U30" s="1">
        <v>1.1200000000000001</v>
      </c>
      <c r="V30" s="1">
        <v>94</v>
      </c>
      <c r="W30" s="1">
        <v>99.7</v>
      </c>
      <c r="X30" s="1"/>
      <c r="Y30" s="1"/>
      <c r="Z30" s="1"/>
      <c r="AA30" s="8">
        <v>5.0000000000000001E-3</v>
      </c>
      <c r="AB30" s="8">
        <v>4.2599999999999999E-2</v>
      </c>
      <c r="AC30" s="8">
        <v>3.8100000000000002E-2</v>
      </c>
      <c r="AD30" s="8">
        <v>0.157</v>
      </c>
      <c r="AE30" s="8">
        <v>3.9899999999999998E-2</v>
      </c>
      <c r="AF30" s="8">
        <v>0.49099999999999999</v>
      </c>
      <c r="AG30" s="8"/>
      <c r="AH30" s="5">
        <v>0.11700000000000001</v>
      </c>
      <c r="AI30" s="5">
        <v>2.5600000000000001E-2</v>
      </c>
      <c r="AJ30" s="5">
        <v>2.29E-2</v>
      </c>
      <c r="AK30" s="5">
        <v>2.7099999999999999E-2</v>
      </c>
      <c r="AL30" s="12">
        <f t="shared" si="1"/>
        <v>0.80740000000000001</v>
      </c>
      <c r="AM30" s="12"/>
      <c r="AN30" s="5">
        <v>0.19700000000000001</v>
      </c>
      <c r="AO30" s="5">
        <v>0.70599999999999996</v>
      </c>
      <c r="AP30" s="11">
        <v>0</v>
      </c>
      <c r="AQ30" s="5">
        <v>9.1999999999999998E-3</v>
      </c>
      <c r="AR30" s="5"/>
      <c r="AS30" s="10">
        <v>0.34350000000000003</v>
      </c>
      <c r="AT30" s="10"/>
      <c r="AU30" s="5">
        <v>0.50800000000000001</v>
      </c>
      <c r="AV30" s="5">
        <v>0.44400000000000001</v>
      </c>
      <c r="AW30" s="5">
        <v>0.45900000000000002</v>
      </c>
      <c r="AX30" s="5">
        <v>0.47599999999999998</v>
      </c>
      <c r="AY30" s="5">
        <v>0.251</v>
      </c>
      <c r="AZ30" s="5">
        <v>0.36599999999999999</v>
      </c>
      <c r="BA30" s="5">
        <v>0.57699999999999996</v>
      </c>
      <c r="BB30" s="5">
        <v>0.53100000000000003</v>
      </c>
      <c r="BC30" s="5">
        <v>0.65400000000000003</v>
      </c>
      <c r="BD30" s="22">
        <v>0.311</v>
      </c>
      <c r="BE30" s="22"/>
      <c r="BF30" s="5">
        <v>0.82879999999999998</v>
      </c>
      <c r="BG30" s="5">
        <v>1.2200000000000001E-2</v>
      </c>
      <c r="BH30" s="5">
        <v>3.6600000000000001E-2</v>
      </c>
      <c r="BI30" s="5">
        <v>0.11</v>
      </c>
      <c r="BJ30" s="8">
        <v>1.2189999999999999E-2</v>
      </c>
      <c r="BK30" s="8"/>
      <c r="BL30">
        <v>71</v>
      </c>
      <c r="BM30">
        <v>16.5</v>
      </c>
      <c r="BN30">
        <v>3.61</v>
      </c>
      <c r="BO30">
        <v>8.86</v>
      </c>
      <c r="BP30">
        <v>20.8</v>
      </c>
      <c r="BQ30">
        <v>34</v>
      </c>
      <c r="BR30">
        <v>37.5</v>
      </c>
      <c r="BS30">
        <v>15.4</v>
      </c>
      <c r="BT30" s="5"/>
      <c r="BU30" s="1">
        <v>73</v>
      </c>
    </row>
    <row r="31" spans="1:73" x14ac:dyDescent="0.3">
      <c r="A31" s="1">
        <v>12</v>
      </c>
      <c r="B31" s="1" t="s">
        <v>17</v>
      </c>
      <c r="C31" s="1">
        <v>66</v>
      </c>
      <c r="D31" s="4">
        <v>22.13</v>
      </c>
      <c r="E31" s="1">
        <v>23</v>
      </c>
      <c r="F31" s="1">
        <v>15</v>
      </c>
      <c r="G31" s="1">
        <v>67</v>
      </c>
      <c r="H31" s="1">
        <v>0.6</v>
      </c>
      <c r="I31" s="1"/>
      <c r="J31" s="1">
        <v>4.3</v>
      </c>
      <c r="K31" s="1">
        <v>115.5</v>
      </c>
      <c r="L31" s="1">
        <v>26.2</v>
      </c>
      <c r="M31" s="1">
        <v>161</v>
      </c>
      <c r="N31" s="1">
        <v>115</v>
      </c>
      <c r="O31" s="1">
        <v>92</v>
      </c>
      <c r="P31" s="1">
        <v>51</v>
      </c>
      <c r="Q31" s="1"/>
      <c r="R31" s="1">
        <v>99</v>
      </c>
      <c r="S31" s="1">
        <v>5.8</v>
      </c>
      <c r="T31" s="1">
        <v>9</v>
      </c>
      <c r="U31" s="1">
        <v>0.72</v>
      </c>
      <c r="V31" s="1">
        <v>89</v>
      </c>
      <c r="W31" s="1">
        <v>104.5</v>
      </c>
      <c r="X31" s="1"/>
      <c r="Y31" s="1"/>
      <c r="Z31" s="1"/>
      <c r="AA31" s="8">
        <v>6.8999999999999999E-3</v>
      </c>
      <c r="AB31" s="8">
        <v>1.09E-2</v>
      </c>
      <c r="AC31" s="8">
        <v>1.47E-2</v>
      </c>
      <c r="AD31" s="8">
        <v>7.0800000000000002E-2</v>
      </c>
      <c r="AE31" s="8">
        <v>1.8599999999999998E-2</v>
      </c>
      <c r="AF31" s="8">
        <v>0.60099999999999998</v>
      </c>
      <c r="AG31" s="8"/>
      <c r="AH31" s="5">
        <v>4.7E-2</v>
      </c>
      <c r="AI31" s="5">
        <v>1.2699999999999999E-2</v>
      </c>
      <c r="AJ31" s="5">
        <v>9.5999999999999992E-3</v>
      </c>
      <c r="AK31" s="5">
        <v>2.3E-2</v>
      </c>
      <c r="AL31" s="12">
        <f t="shared" si="1"/>
        <v>0.90769999999999995</v>
      </c>
      <c r="AM31" s="12"/>
      <c r="AN31" s="5">
        <v>0.32964290000000002</v>
      </c>
      <c r="AO31" s="5">
        <v>0.61499999999999999</v>
      </c>
      <c r="AP31" s="5">
        <v>1.3571000000000002E-3</v>
      </c>
      <c r="AQ31" s="5">
        <v>7.7999999999999996E-3</v>
      </c>
      <c r="AR31" s="5"/>
      <c r="AS31" s="10">
        <v>0.373</v>
      </c>
      <c r="AT31" s="10"/>
      <c r="AU31" s="5">
        <v>0.64400000000000002</v>
      </c>
      <c r="AV31" s="5">
        <v>0.42699999999999999</v>
      </c>
      <c r="AW31" s="5">
        <v>0.58899999999999997</v>
      </c>
      <c r="AX31" s="5">
        <v>0.16200000000000001</v>
      </c>
      <c r="AY31" s="5">
        <v>0.42899999999999999</v>
      </c>
      <c r="AZ31" s="5">
        <v>0.58499999999999996</v>
      </c>
      <c r="BA31" s="5">
        <v>0.53200000000000003</v>
      </c>
      <c r="BB31" s="5">
        <v>0.4</v>
      </c>
      <c r="BC31" s="5">
        <v>0.23499999999999999</v>
      </c>
      <c r="BD31" s="22">
        <v>0.76100000000000001</v>
      </c>
      <c r="BE31" s="22"/>
      <c r="BF31" s="5">
        <v>0.59160000000000001</v>
      </c>
      <c r="BG31" s="5">
        <v>4.9000000000000002E-2</v>
      </c>
      <c r="BH31" s="5">
        <v>6.8599999999999994E-2</v>
      </c>
      <c r="BI31" s="5">
        <v>0.20599999999999999</v>
      </c>
      <c r="BJ31" s="8">
        <v>8.48E-2</v>
      </c>
      <c r="BK31" s="8"/>
      <c r="BL31">
        <v>42.8</v>
      </c>
      <c r="BM31">
        <v>33.800000000000004</v>
      </c>
      <c r="BN31">
        <v>10.8</v>
      </c>
      <c r="BO31">
        <v>12.6</v>
      </c>
      <c r="BP31">
        <v>3.9600000000000004</v>
      </c>
      <c r="BQ31">
        <v>8.51</v>
      </c>
      <c r="BR31">
        <v>27.3</v>
      </c>
      <c r="BS31">
        <v>2.6100000000000003</v>
      </c>
      <c r="BT31" s="5"/>
      <c r="BU31" s="1">
        <v>99</v>
      </c>
    </row>
    <row r="32" spans="1:73" x14ac:dyDescent="0.3">
      <c r="A32" s="1">
        <v>13</v>
      </c>
      <c r="B32" s="1" t="s">
        <v>19</v>
      </c>
      <c r="C32" s="1">
        <v>52</v>
      </c>
      <c r="D32" s="4">
        <v>27.22</v>
      </c>
      <c r="E32" s="1">
        <v>22</v>
      </c>
      <c r="F32" s="1">
        <v>16</v>
      </c>
      <c r="G32" s="1">
        <v>69</v>
      </c>
      <c r="H32" s="1">
        <v>0.6</v>
      </c>
      <c r="I32" s="1"/>
      <c r="J32" s="1">
        <v>3.4</v>
      </c>
      <c r="K32" s="1">
        <v>98.1</v>
      </c>
      <c r="L32" s="1">
        <v>25.5</v>
      </c>
      <c r="M32" s="1">
        <v>177</v>
      </c>
      <c r="N32" s="1">
        <v>68</v>
      </c>
      <c r="O32" s="1">
        <v>120</v>
      </c>
      <c r="P32" s="1">
        <v>54</v>
      </c>
      <c r="Q32" s="1"/>
      <c r="R32" s="1">
        <v>100</v>
      </c>
      <c r="S32" s="1">
        <v>5.3</v>
      </c>
      <c r="T32" s="1">
        <v>10</v>
      </c>
      <c r="U32" s="1">
        <v>0.78</v>
      </c>
      <c r="V32" s="1">
        <v>96</v>
      </c>
      <c r="W32" s="1">
        <v>127.8</v>
      </c>
      <c r="X32" s="1"/>
      <c r="Y32" s="1"/>
      <c r="Z32" s="1"/>
      <c r="AA32" s="8">
        <v>4.1999999999999997E-3</v>
      </c>
      <c r="AB32" s="8">
        <v>3.7100000000000001E-2</v>
      </c>
      <c r="AC32" s="8">
        <v>4.5699999999999998E-2</v>
      </c>
      <c r="AD32" s="8">
        <v>0.161</v>
      </c>
      <c r="AE32" s="8">
        <v>2.0199999999999999E-2</v>
      </c>
      <c r="AF32" s="8">
        <v>0.46200000000000002</v>
      </c>
      <c r="AG32" s="8"/>
      <c r="AH32" s="5">
        <v>8.6800000000000002E-2</v>
      </c>
      <c r="AI32" s="5">
        <v>3.0599999999999999E-2</v>
      </c>
      <c r="AJ32" s="5">
        <v>2.3999999999999998E-3</v>
      </c>
      <c r="AK32" s="5">
        <v>7.6999999999999999E-2</v>
      </c>
      <c r="AL32" s="12">
        <f t="shared" si="1"/>
        <v>0.80320000000000003</v>
      </c>
      <c r="AM32" s="12"/>
      <c r="AN32" s="5">
        <v>0.397005</v>
      </c>
      <c r="AO32" s="5">
        <v>0.51300000000000001</v>
      </c>
      <c r="AP32" s="5">
        <v>1.9950000000000002E-3</v>
      </c>
      <c r="AQ32" s="5">
        <v>2.3800000000000002E-2</v>
      </c>
      <c r="AR32" s="5"/>
      <c r="AS32" s="10">
        <v>0.38450000000000001</v>
      </c>
      <c r="AT32" s="10"/>
      <c r="AU32" s="5">
        <v>0.56499999999999995</v>
      </c>
      <c r="AV32" s="5">
        <v>0.47</v>
      </c>
      <c r="AW32" s="5">
        <v>0.59</v>
      </c>
      <c r="AY32" s="5">
        <v>0.23400000000000001</v>
      </c>
      <c r="AZ32" s="5">
        <v>0.36599999999999999</v>
      </c>
      <c r="BA32" s="5">
        <v>0.65800000000000003</v>
      </c>
      <c r="BB32" s="5">
        <v>0.38100000000000001</v>
      </c>
      <c r="BD32" s="22">
        <v>0.114</v>
      </c>
      <c r="BE32" s="22"/>
      <c r="BF32" s="5">
        <v>0.76400000000000001</v>
      </c>
      <c r="BG32" s="5">
        <v>2.4400000000000002E-2</v>
      </c>
      <c r="BH32" s="5">
        <v>8.1299999999999997E-2</v>
      </c>
      <c r="BI32" s="5">
        <v>6.5000000000000002E-2</v>
      </c>
      <c r="BJ32" s="8">
        <v>6.4899999999999999E-2</v>
      </c>
      <c r="BK32" s="8"/>
      <c r="BL32">
        <v>62.5</v>
      </c>
      <c r="BM32">
        <v>30.3</v>
      </c>
      <c r="BN32">
        <v>1.7999999999999998</v>
      </c>
      <c r="BO32">
        <v>5.4</v>
      </c>
      <c r="BP32">
        <v>4.26</v>
      </c>
      <c r="BQ32">
        <v>9.9</v>
      </c>
      <c r="BR32">
        <v>6.8199999999999994</v>
      </c>
      <c r="BS32">
        <v>3.08</v>
      </c>
      <c r="BT32" s="5"/>
      <c r="BU32" s="1">
        <v>100</v>
      </c>
    </row>
    <row r="33" spans="1:73" x14ac:dyDescent="0.3">
      <c r="A33" s="1">
        <v>14</v>
      </c>
      <c r="B33" s="1" t="s">
        <v>19</v>
      </c>
      <c r="C33" s="1">
        <v>55</v>
      </c>
      <c r="D33" s="4">
        <v>26.18</v>
      </c>
      <c r="E33" s="1">
        <v>23</v>
      </c>
      <c r="F33" s="1">
        <v>17</v>
      </c>
      <c r="G33" s="1">
        <v>54</v>
      </c>
      <c r="H33" s="1">
        <v>0.9</v>
      </c>
      <c r="I33" s="1"/>
      <c r="J33" s="1">
        <v>4.7</v>
      </c>
      <c r="K33" s="1">
        <v>123</v>
      </c>
      <c r="L33" s="1">
        <v>27.1</v>
      </c>
      <c r="M33" s="1">
        <v>185</v>
      </c>
      <c r="N33" s="1">
        <v>88</v>
      </c>
      <c r="O33" s="1">
        <v>124</v>
      </c>
      <c r="P33" s="1">
        <v>56</v>
      </c>
      <c r="Q33" s="1"/>
      <c r="R33" s="1">
        <v>93</v>
      </c>
      <c r="S33" s="1">
        <v>5</v>
      </c>
      <c r="T33" s="1">
        <v>19</v>
      </c>
      <c r="U33" s="1">
        <v>1.07</v>
      </c>
      <c r="V33" s="1">
        <v>95</v>
      </c>
      <c r="W33" s="1">
        <v>85.8</v>
      </c>
      <c r="X33" s="1"/>
      <c r="Y33" s="1"/>
      <c r="Z33" s="1"/>
      <c r="AA33" s="8">
        <v>6.1999999999999998E-3</v>
      </c>
      <c r="AB33" s="8">
        <v>4.5600000000000002E-2</v>
      </c>
      <c r="AC33" s="8">
        <v>3.2099999999999997E-2</v>
      </c>
      <c r="AD33" s="8">
        <v>3.7199999999999997E-2</v>
      </c>
      <c r="AE33" s="8">
        <v>1.95E-2</v>
      </c>
      <c r="AF33" s="8">
        <v>0.60799999999999998</v>
      </c>
      <c r="AG33" s="8"/>
      <c r="AH33" s="5">
        <v>4.2000000000000003E-2</v>
      </c>
      <c r="AI33" s="5">
        <v>9.4999999999999998E-3</v>
      </c>
      <c r="AJ33" s="5">
        <v>1.2999999999999999E-4</v>
      </c>
      <c r="AK33" s="5">
        <v>1.1000000000000001E-3</v>
      </c>
      <c r="AL33" s="12">
        <f t="shared" si="1"/>
        <v>0.94727000000000006</v>
      </c>
      <c r="AM33" s="12"/>
      <c r="AN33" s="5">
        <v>0.37889767000000002</v>
      </c>
      <c r="AO33" s="5">
        <v>0.55200000000000005</v>
      </c>
      <c r="AP33" s="5">
        <v>1.0233E-4</v>
      </c>
      <c r="AQ33" s="5">
        <v>8.8000000000000005E-3</v>
      </c>
      <c r="AR33" s="5"/>
      <c r="AS33" s="10">
        <v>0.42</v>
      </c>
      <c r="AT33" s="10"/>
      <c r="AU33" s="5">
        <v>0.79800000000000004</v>
      </c>
      <c r="AV33" s="5">
        <v>0.7</v>
      </c>
      <c r="AW33" s="5">
        <v>0.628</v>
      </c>
      <c r="AY33" s="5">
        <v>0.67600000000000005</v>
      </c>
      <c r="AZ33" s="5">
        <v>0.215</v>
      </c>
      <c r="BA33" s="5">
        <v>0.77300000000000002</v>
      </c>
      <c r="BB33" s="5">
        <v>0.35399999999999998</v>
      </c>
      <c r="BD33" s="22">
        <v>0.97099999999999997</v>
      </c>
      <c r="BE33" s="22"/>
      <c r="BF33" s="5">
        <v>0.88060000000000005</v>
      </c>
      <c r="BG33" s="5">
        <v>2.63E-2</v>
      </c>
      <c r="BH33" s="5">
        <v>1.9699999999999999E-2</v>
      </c>
      <c r="BI33" s="5">
        <v>4.3799999999999999E-2</v>
      </c>
      <c r="BJ33" s="8">
        <v>2.18E-2</v>
      </c>
      <c r="BK33" s="8"/>
      <c r="BL33">
        <v>55.800000000000004</v>
      </c>
      <c r="BM33">
        <v>39.5</v>
      </c>
      <c r="BN33">
        <v>1.3599999999999999</v>
      </c>
      <c r="BO33">
        <v>3.3300000000000005</v>
      </c>
      <c r="BP33">
        <v>22.2</v>
      </c>
      <c r="BQ33">
        <v>28.4</v>
      </c>
      <c r="BR33">
        <v>27.700000000000003</v>
      </c>
      <c r="BS33">
        <v>9.93</v>
      </c>
      <c r="BT33" s="5"/>
      <c r="BU33" s="1">
        <v>93</v>
      </c>
    </row>
    <row r="34" spans="1:73" x14ac:dyDescent="0.3">
      <c r="A34" s="1">
        <v>15</v>
      </c>
      <c r="B34" s="1" t="s">
        <v>19</v>
      </c>
      <c r="C34" s="1">
        <v>52</v>
      </c>
      <c r="D34" s="4">
        <v>26.29</v>
      </c>
      <c r="E34" s="1">
        <v>23</v>
      </c>
      <c r="F34" s="1">
        <v>20</v>
      </c>
      <c r="G34" s="1">
        <v>81</v>
      </c>
      <c r="H34" s="1">
        <v>0.6</v>
      </c>
      <c r="I34" s="1"/>
      <c r="J34" s="1">
        <v>3.7</v>
      </c>
      <c r="K34" s="1">
        <v>94.5</v>
      </c>
      <c r="L34" s="1">
        <v>29.7</v>
      </c>
      <c r="M34" s="1">
        <v>190</v>
      </c>
      <c r="N34" s="1">
        <v>86</v>
      </c>
      <c r="O34" s="1">
        <v>121</v>
      </c>
      <c r="P34" s="1">
        <v>59</v>
      </c>
      <c r="Q34" s="1"/>
      <c r="R34" s="1">
        <v>107</v>
      </c>
      <c r="S34" s="1">
        <v>5.3</v>
      </c>
      <c r="T34" s="1">
        <v>9</v>
      </c>
      <c r="U34" s="1">
        <v>0.63</v>
      </c>
      <c r="V34" s="1">
        <v>124</v>
      </c>
      <c r="W34" s="1">
        <v>73.599999999999994</v>
      </c>
      <c r="X34" s="1"/>
      <c r="Y34" s="1"/>
      <c r="Z34" s="1"/>
      <c r="AA34" s="8">
        <v>7.1999999999999998E-3</v>
      </c>
      <c r="AB34" s="8">
        <v>9.9900000000000003E-2</v>
      </c>
      <c r="AC34" s="8">
        <v>3.6600000000000001E-2</v>
      </c>
      <c r="AD34" s="8">
        <v>0.126</v>
      </c>
      <c r="AE34" s="8">
        <v>3.3399999999999999E-2</v>
      </c>
      <c r="AF34" s="8">
        <v>0.42499999999999999</v>
      </c>
      <c r="AG34" s="8"/>
      <c r="AH34" s="5">
        <v>8.6400000000000005E-2</v>
      </c>
      <c r="AI34" s="5">
        <v>2.8199999999999999E-2</v>
      </c>
      <c r="AJ34" s="5">
        <v>2E-3</v>
      </c>
      <c r="AK34" s="5">
        <v>3.8300000000000001E-2</v>
      </c>
      <c r="AL34" s="12">
        <f t="shared" si="1"/>
        <v>0.84509999999999996</v>
      </c>
      <c r="AM34" s="12"/>
      <c r="AN34" s="5">
        <v>0.41681651999999997</v>
      </c>
      <c r="AO34" s="5">
        <v>0.46700000000000003</v>
      </c>
      <c r="AP34" s="5">
        <v>1.8348E-4</v>
      </c>
      <c r="AQ34" s="5">
        <v>4.5600000000000002E-2</v>
      </c>
      <c r="AR34" s="5"/>
      <c r="AS34" s="10">
        <v>0.38200000000000001</v>
      </c>
      <c r="AT34" s="10"/>
      <c r="AU34" s="5">
        <v>0.41299999999999998</v>
      </c>
      <c r="AV34" s="5">
        <v>0.50900000000000001</v>
      </c>
      <c r="AW34" s="5">
        <v>0.443</v>
      </c>
      <c r="AY34" s="5">
        <v>0.55900000000000005</v>
      </c>
      <c r="AZ34" s="5">
        <v>0.33500000000000002</v>
      </c>
      <c r="BA34" s="5">
        <v>0.65500000000000003</v>
      </c>
      <c r="BB34" s="5">
        <v>0.55100000000000005</v>
      </c>
      <c r="BD34" s="22">
        <v>0.67800000000000005</v>
      </c>
      <c r="BE34" s="22"/>
      <c r="BF34" s="5">
        <v>0.70120000000000005</v>
      </c>
      <c r="BG34" s="5">
        <v>1.4800000000000001E-2</v>
      </c>
      <c r="BH34" s="5">
        <v>0.11799999999999999</v>
      </c>
      <c r="BI34" s="5">
        <v>7.3800000000000004E-2</v>
      </c>
      <c r="BJ34" s="8">
        <v>9.1399999999999995E-2</v>
      </c>
      <c r="BK34" s="8"/>
      <c r="BL34">
        <v>56.000000000000007</v>
      </c>
      <c r="BM34">
        <v>32.6</v>
      </c>
      <c r="BN34">
        <v>1.53</v>
      </c>
      <c r="BO34">
        <v>9.82</v>
      </c>
      <c r="BP34">
        <v>14.000000000000002</v>
      </c>
      <c r="BQ34">
        <v>23.1</v>
      </c>
      <c r="BR34">
        <v>14.299999999999999</v>
      </c>
      <c r="BS34">
        <v>10.7</v>
      </c>
      <c r="BT34" s="5"/>
      <c r="BU34" s="1">
        <v>107</v>
      </c>
    </row>
    <row r="35" spans="1:73" x14ac:dyDescent="0.3">
      <c r="A35" s="1">
        <v>16</v>
      </c>
      <c r="B35" s="1" t="s">
        <v>17</v>
      </c>
      <c r="C35" s="1">
        <v>27</v>
      </c>
      <c r="D35" s="4">
        <v>24.34</v>
      </c>
      <c r="E35" s="1">
        <v>15</v>
      </c>
      <c r="F35" s="1">
        <v>12</v>
      </c>
      <c r="G35" s="1">
        <v>48</v>
      </c>
      <c r="H35" s="1">
        <v>0.3</v>
      </c>
      <c r="I35" s="1"/>
      <c r="J35" s="1">
        <v>4.3</v>
      </c>
      <c r="K35" s="1">
        <v>108.3</v>
      </c>
      <c r="L35" s="1">
        <v>30.3</v>
      </c>
      <c r="M35" s="1">
        <v>227</v>
      </c>
      <c r="N35" s="1">
        <v>420</v>
      </c>
      <c r="O35" s="1">
        <v>129</v>
      </c>
      <c r="P35" s="1">
        <v>42</v>
      </c>
      <c r="Q35" s="1"/>
      <c r="R35" s="1">
        <v>109</v>
      </c>
      <c r="S35" s="1">
        <v>5.8</v>
      </c>
      <c r="T35" s="1">
        <v>10</v>
      </c>
      <c r="U35" s="1">
        <v>0.79</v>
      </c>
      <c r="V35" s="1">
        <v>103</v>
      </c>
      <c r="W35" s="1">
        <v>153.30000000000001</v>
      </c>
      <c r="X35" s="1"/>
      <c r="Y35" s="1"/>
      <c r="Z35" s="1"/>
      <c r="AA35" s="8">
        <v>7.0000000000000001E-3</v>
      </c>
      <c r="AB35" s="8">
        <v>0.11</v>
      </c>
      <c r="AC35" s="8">
        <v>7.17E-2</v>
      </c>
      <c r="AD35" s="8">
        <v>6.7000000000000004E-2</v>
      </c>
      <c r="AE35" s="8">
        <v>2.9000000000000001E-2</v>
      </c>
      <c r="AF35" s="8">
        <v>0.51300000000000001</v>
      </c>
      <c r="AG35" s="8"/>
      <c r="AH35" s="5">
        <v>8.2299999999999998E-2</v>
      </c>
      <c r="AI35" s="5">
        <v>4.7100000000000003E-2</v>
      </c>
      <c r="AJ35" s="5">
        <v>8.3999999999999995E-3</v>
      </c>
      <c r="AK35" s="5">
        <v>2.3800000000000002E-2</v>
      </c>
      <c r="AL35" s="12">
        <f t="shared" si="1"/>
        <v>0.83840000000000003</v>
      </c>
      <c r="AM35" s="12"/>
      <c r="AN35" s="5">
        <v>0.3698668</v>
      </c>
      <c r="AO35" s="5">
        <v>0.55800000000000005</v>
      </c>
      <c r="AP35" s="5">
        <v>3.1331999999999996E-3</v>
      </c>
      <c r="AQ35" s="5">
        <v>1.09E-2</v>
      </c>
      <c r="AR35" s="5"/>
      <c r="AS35" s="10">
        <v>0.29099999999999998</v>
      </c>
      <c r="AT35" s="10"/>
      <c r="AU35" s="5">
        <v>0.76800000000000002</v>
      </c>
      <c r="AV35" s="5">
        <v>0.79200000000000004</v>
      </c>
      <c r="AW35" s="5">
        <v>0.76400000000000001</v>
      </c>
      <c r="AX35" s="5">
        <v>0.42</v>
      </c>
      <c r="AY35" s="5">
        <v>0.48</v>
      </c>
      <c r="AZ35" s="5">
        <v>0.26400000000000001</v>
      </c>
      <c r="BA35" s="5">
        <v>0.73</v>
      </c>
      <c r="BB35" s="5">
        <v>0.22500000000000001</v>
      </c>
      <c r="BC35" s="5">
        <v>0.51900000000000002</v>
      </c>
      <c r="BD35" s="22">
        <v>0.61599999999999999</v>
      </c>
      <c r="BE35" s="22"/>
      <c r="BF35" s="5">
        <v>0.70550000000000002</v>
      </c>
      <c r="BG35" s="5">
        <v>1.61E-2</v>
      </c>
      <c r="BH35" s="5">
        <v>5.6500000000000002E-2</v>
      </c>
      <c r="BI35" s="5">
        <v>8.4699999999999998E-2</v>
      </c>
      <c r="BJ35" s="8">
        <v>0.13719999999999999</v>
      </c>
      <c r="BK35" s="8"/>
      <c r="BL35">
        <v>65.8</v>
      </c>
      <c r="BM35">
        <v>25.7</v>
      </c>
      <c r="BN35">
        <v>2.36</v>
      </c>
      <c r="BO35">
        <v>6.11</v>
      </c>
      <c r="BP35">
        <v>13</v>
      </c>
      <c r="BQ35">
        <v>12</v>
      </c>
      <c r="BR35">
        <v>7.6899999999999995</v>
      </c>
      <c r="BS35">
        <v>6.35</v>
      </c>
      <c r="BT35" s="5"/>
      <c r="BU35" s="1">
        <v>109</v>
      </c>
    </row>
    <row r="36" spans="1:73" x14ac:dyDescent="0.3">
      <c r="A36" s="1">
        <v>17</v>
      </c>
      <c r="B36" s="1" t="s">
        <v>17</v>
      </c>
      <c r="C36" s="1">
        <v>42</v>
      </c>
      <c r="D36" s="4">
        <v>23.53</v>
      </c>
      <c r="E36" s="1">
        <v>14</v>
      </c>
      <c r="F36" s="1">
        <v>10</v>
      </c>
      <c r="G36" s="1">
        <v>42</v>
      </c>
      <c r="H36" s="1">
        <v>0.7</v>
      </c>
      <c r="I36" s="1"/>
      <c r="J36" s="1">
        <v>4</v>
      </c>
      <c r="K36" s="1">
        <v>101.8</v>
      </c>
      <c r="L36" s="1">
        <v>25.4</v>
      </c>
      <c r="M36" s="1">
        <v>157</v>
      </c>
      <c r="N36" s="1">
        <v>184</v>
      </c>
      <c r="O36" s="1">
        <v>90</v>
      </c>
      <c r="P36" s="1">
        <v>41</v>
      </c>
      <c r="Q36" s="1"/>
      <c r="R36" s="1">
        <v>92</v>
      </c>
      <c r="S36" s="1">
        <v>5.4</v>
      </c>
      <c r="T36" s="1">
        <v>16</v>
      </c>
      <c r="U36" s="1">
        <v>1.1100000000000001</v>
      </c>
      <c r="V36" s="1">
        <v>74</v>
      </c>
      <c r="W36" s="1">
        <v>108.7</v>
      </c>
      <c r="X36" s="1"/>
      <c r="Y36" s="1"/>
      <c r="Z36" s="1"/>
      <c r="AA36" s="8">
        <v>0.14000000000000001</v>
      </c>
      <c r="AB36" s="8">
        <v>2.5100000000000001E-2</v>
      </c>
      <c r="AC36" s="8">
        <v>2.4400000000000002E-2</v>
      </c>
      <c r="AD36" s="8">
        <v>7.2700000000000001E-2</v>
      </c>
      <c r="AE36" s="8">
        <v>3.1399999999999997E-2</v>
      </c>
      <c r="AF36" s="8">
        <v>0.56799999999999995</v>
      </c>
      <c r="AG36" s="8"/>
      <c r="AH36" s="5">
        <v>8.6300000000000002E-2</v>
      </c>
      <c r="AI36" s="5">
        <v>1.7299999999999999E-2</v>
      </c>
      <c r="AJ36" s="5">
        <v>3.2099999999999997E-2</v>
      </c>
      <c r="AK36" s="5">
        <v>6.1000000000000004E-3</v>
      </c>
      <c r="AL36" s="12">
        <f t="shared" si="1"/>
        <v>0.85820000000000007</v>
      </c>
      <c r="AM36" s="12"/>
      <c r="AN36" s="5">
        <v>0.43728790000000001</v>
      </c>
      <c r="AO36" s="5">
        <v>0.499</v>
      </c>
      <c r="AP36" s="5">
        <v>1.7120999999999998E-3</v>
      </c>
      <c r="AQ36" s="5">
        <v>1.66E-2</v>
      </c>
      <c r="AR36" s="5"/>
      <c r="AS36" s="10">
        <v>0.30399999999999999</v>
      </c>
      <c r="AT36" s="10"/>
      <c r="AU36" s="5">
        <v>0.61799999999999999</v>
      </c>
      <c r="AV36" s="5">
        <v>0.61799999999999999</v>
      </c>
      <c r="AW36" s="5">
        <v>0.42</v>
      </c>
      <c r="AX36" s="5">
        <v>0.47599999999999998</v>
      </c>
      <c r="AY36" s="5">
        <v>0.50700000000000001</v>
      </c>
      <c r="AZ36" s="5">
        <v>0.64900000000000002</v>
      </c>
      <c r="BA36" s="5">
        <v>0.81799999999999995</v>
      </c>
      <c r="BB36" s="5">
        <v>0.45</v>
      </c>
      <c r="BC36" s="5">
        <v>0.57799999999999996</v>
      </c>
      <c r="BD36" s="22">
        <v>0.59199999999999997</v>
      </c>
      <c r="BE36" s="22"/>
      <c r="BF36" s="5">
        <v>0.95369999999999999</v>
      </c>
      <c r="BG36" s="5">
        <v>7.4999999999999997E-3</v>
      </c>
      <c r="BH36" s="5">
        <v>1.9199999999999998E-2</v>
      </c>
      <c r="BI36" s="5">
        <v>5.8999999999999999E-3</v>
      </c>
      <c r="BJ36" s="8">
        <v>1.32E-2</v>
      </c>
      <c r="BK36" s="8"/>
      <c r="BL36">
        <v>36.199999999999996</v>
      </c>
      <c r="BM36">
        <v>48.6</v>
      </c>
      <c r="BN36">
        <v>5.5</v>
      </c>
      <c r="BO36">
        <v>9.7000000000000011</v>
      </c>
      <c r="BP36">
        <v>9.4</v>
      </c>
      <c r="BQ36">
        <v>16.8</v>
      </c>
      <c r="BR36">
        <v>11</v>
      </c>
      <c r="BS36">
        <v>5.0500000000000007</v>
      </c>
      <c r="BT36" s="5"/>
      <c r="BU36" s="1">
        <v>92</v>
      </c>
    </row>
    <row r="37" spans="1:73" x14ac:dyDescent="0.3">
      <c r="A37" s="1">
        <v>18</v>
      </c>
      <c r="B37" s="1" t="s">
        <v>19</v>
      </c>
      <c r="C37" s="1">
        <v>26</v>
      </c>
      <c r="D37" s="4">
        <v>27.27</v>
      </c>
      <c r="E37" s="1">
        <v>30</v>
      </c>
      <c r="F37" s="1">
        <v>27</v>
      </c>
      <c r="G37" s="1">
        <v>70</v>
      </c>
      <c r="H37" s="1">
        <v>1.2</v>
      </c>
      <c r="I37" s="1"/>
      <c r="J37" s="1">
        <v>4.0999999999999996</v>
      </c>
      <c r="K37" s="1">
        <v>114.5</v>
      </c>
      <c r="L37" s="1">
        <v>23.8</v>
      </c>
      <c r="M37" s="1">
        <v>154</v>
      </c>
      <c r="N37" s="1">
        <v>92</v>
      </c>
      <c r="O37" s="1">
        <v>77</v>
      </c>
      <c r="P37" s="1">
        <v>56</v>
      </c>
      <c r="Q37" s="1"/>
      <c r="R37" s="1">
        <v>105</v>
      </c>
      <c r="S37" s="1">
        <v>5.7</v>
      </c>
      <c r="T37" s="1">
        <v>15</v>
      </c>
      <c r="U37" s="1">
        <v>0.75</v>
      </c>
      <c r="V37" s="1">
        <v>83</v>
      </c>
      <c r="W37" s="1">
        <v>109.7</v>
      </c>
      <c r="X37" s="1"/>
      <c r="Y37" s="1"/>
      <c r="Z37" s="1"/>
      <c r="AA37" s="8">
        <v>8.6999999999999994E-3</v>
      </c>
      <c r="AB37" s="8">
        <v>0.10100000000000001</v>
      </c>
      <c r="AC37" s="8">
        <v>4.2999999999999997E-2</v>
      </c>
      <c r="AD37" s="8">
        <v>0.127</v>
      </c>
      <c r="AE37" s="8">
        <v>4.1700000000000001E-2</v>
      </c>
      <c r="AF37" s="8">
        <v>0.38500000000000001</v>
      </c>
      <c r="AG37" s="8"/>
      <c r="AH37" s="5">
        <v>0.129</v>
      </c>
      <c r="AI37" s="5">
        <v>2.5700000000000001E-2</v>
      </c>
      <c r="AJ37" s="5">
        <v>3.0999999999999999E-3</v>
      </c>
      <c r="AK37" s="5">
        <v>3.7499999999999999E-2</v>
      </c>
      <c r="AL37" s="12">
        <f t="shared" si="1"/>
        <v>0.80469999999999997</v>
      </c>
      <c r="AM37" s="12"/>
      <c r="AN37" s="5">
        <v>0.27705480000000005</v>
      </c>
      <c r="AO37" s="5">
        <v>0.63400000000000001</v>
      </c>
      <c r="AP37" s="5">
        <v>9.4519999999999999E-4</v>
      </c>
      <c r="AQ37" s="5">
        <v>1.78E-2</v>
      </c>
      <c r="AR37" s="5"/>
      <c r="AS37" s="10">
        <v>0.32900000000000001</v>
      </c>
      <c r="AT37" s="10"/>
      <c r="AU37" s="5">
        <v>0.78200000000000003</v>
      </c>
      <c r="AV37" s="5">
        <v>0.72</v>
      </c>
      <c r="AW37" s="5">
        <v>0.64400000000000002</v>
      </c>
      <c r="AX37" s="5">
        <v>0.379</v>
      </c>
      <c r="AY37" s="5">
        <v>0.42399999999999999</v>
      </c>
      <c r="AZ37" s="5">
        <v>0.32100000000000001</v>
      </c>
      <c r="BA37" s="5">
        <v>0.59499999999999997</v>
      </c>
      <c r="BB37" s="5">
        <v>0.33100000000000002</v>
      </c>
      <c r="BC37" s="5">
        <v>0.31</v>
      </c>
      <c r="BD37" s="22">
        <v>0.59899999999999998</v>
      </c>
      <c r="BE37" s="22"/>
      <c r="BF37" s="5">
        <v>0.87729999999999997</v>
      </c>
      <c r="BG37" s="5">
        <v>2.5600000000000001E-2</v>
      </c>
      <c r="BH37" s="5">
        <v>1.54E-2</v>
      </c>
      <c r="BI37" s="5">
        <v>5.6399999999999999E-2</v>
      </c>
      <c r="BJ37" s="8">
        <v>2.52E-2</v>
      </c>
      <c r="BK37" s="8"/>
      <c r="BL37">
        <v>69.5</v>
      </c>
      <c r="BM37">
        <v>22.8</v>
      </c>
      <c r="BN37">
        <v>1.95</v>
      </c>
      <c r="BO37">
        <v>5.75</v>
      </c>
      <c r="BP37">
        <v>0.80999999999999994</v>
      </c>
      <c r="BQ37">
        <v>4.25</v>
      </c>
      <c r="BR37">
        <v>8.19</v>
      </c>
      <c r="BS37">
        <v>0.5</v>
      </c>
      <c r="BT37" s="5"/>
      <c r="BU37" s="1">
        <v>105</v>
      </c>
    </row>
    <row r="38" spans="1:73" x14ac:dyDescent="0.3">
      <c r="A38" s="1">
        <v>19</v>
      </c>
      <c r="B38" s="1" t="s">
        <v>19</v>
      </c>
      <c r="C38" s="1">
        <v>21</v>
      </c>
      <c r="D38" s="4">
        <v>21.81</v>
      </c>
      <c r="E38" s="1">
        <v>20</v>
      </c>
      <c r="F38" s="1">
        <v>13</v>
      </c>
      <c r="G38" s="1">
        <v>88</v>
      </c>
      <c r="H38" s="1">
        <v>0.8</v>
      </c>
      <c r="I38" s="1"/>
      <c r="J38" s="1">
        <v>4.2</v>
      </c>
      <c r="K38" s="1">
        <v>103.3</v>
      </c>
      <c r="L38" s="1">
        <v>28.2</v>
      </c>
      <c r="M38" s="1">
        <v>240</v>
      </c>
      <c r="N38" s="1">
        <v>132</v>
      </c>
      <c r="O38" s="1">
        <v>164</v>
      </c>
      <c r="P38" s="1">
        <v>50</v>
      </c>
      <c r="Q38" s="1"/>
      <c r="R38" s="1">
        <v>113</v>
      </c>
      <c r="S38" s="1">
        <v>5.8</v>
      </c>
      <c r="T38" s="1">
        <v>17</v>
      </c>
      <c r="U38" s="1">
        <v>0.94</v>
      </c>
      <c r="V38" s="1">
        <v>93</v>
      </c>
      <c r="W38" s="1">
        <v>153</v>
      </c>
      <c r="X38" s="1"/>
      <c r="Y38" s="1"/>
      <c r="Z38" s="1"/>
      <c r="AA38" s="8">
        <v>4.7999999999999996E-3</v>
      </c>
      <c r="AB38" s="8">
        <v>5.9400000000000001E-2</v>
      </c>
      <c r="AC38" s="8">
        <v>4.2000000000000003E-2</v>
      </c>
      <c r="AD38" s="8">
        <v>0.17799999999999999</v>
      </c>
      <c r="AE38" s="8">
        <v>9.6299999999999997E-2</v>
      </c>
      <c r="AF38" s="8">
        <v>0.49099999999999999</v>
      </c>
      <c r="AG38" s="8"/>
      <c r="AH38" s="5">
        <v>0.20499999999999999</v>
      </c>
      <c r="AI38" s="5">
        <v>5.6300000000000003E-2</v>
      </c>
      <c r="AJ38" s="5">
        <v>6.1100000000000002E-2</v>
      </c>
      <c r="AK38" s="5">
        <v>2.1899999999999999E-2</v>
      </c>
      <c r="AL38" s="12">
        <f t="shared" si="1"/>
        <v>0.65570000000000006</v>
      </c>
      <c r="AM38" s="12"/>
      <c r="AN38" s="5">
        <v>0.31766159999999999</v>
      </c>
      <c r="AO38" s="5">
        <v>0.59699999999999998</v>
      </c>
      <c r="AP38" s="5">
        <v>3.3384E-3</v>
      </c>
      <c r="AQ38" s="5">
        <v>4.7999999999999996E-3</v>
      </c>
      <c r="AR38" s="5"/>
      <c r="AS38" s="13">
        <v>0.21099999999999999</v>
      </c>
      <c r="AT38" s="13"/>
      <c r="AU38" s="5">
        <v>0.54900000000000004</v>
      </c>
      <c r="AV38" s="5">
        <v>0.315</v>
      </c>
      <c r="AW38" s="5">
        <v>0.59599999999999997</v>
      </c>
      <c r="AX38" s="5">
        <v>0.46700000000000003</v>
      </c>
      <c r="AY38" s="5">
        <v>0.10100000000000001</v>
      </c>
      <c r="AZ38" s="5">
        <v>0.48099999999999998</v>
      </c>
      <c r="BA38" s="5">
        <v>0.435</v>
      </c>
      <c r="BB38" s="5">
        <v>0.4</v>
      </c>
      <c r="BC38" s="5">
        <v>0.51700000000000002</v>
      </c>
      <c r="BD38" s="22">
        <v>0.68500000000000005</v>
      </c>
      <c r="BE38" s="22"/>
      <c r="BF38" s="5">
        <v>0.86850000000000005</v>
      </c>
      <c r="BG38" s="5">
        <v>4.2099999999999999E-2</v>
      </c>
      <c r="BH38" s="5">
        <v>1.0500000000000001E-2</v>
      </c>
      <c r="BI38" s="5">
        <v>6.3200000000000006E-2</v>
      </c>
      <c r="BJ38" s="8">
        <v>1.54E-2</v>
      </c>
      <c r="BK38" s="8"/>
      <c r="BL38">
        <v>71.5</v>
      </c>
      <c r="BM38">
        <v>19.600000000000001</v>
      </c>
      <c r="BN38">
        <v>0.98</v>
      </c>
      <c r="BO38">
        <v>7.9200000000000008</v>
      </c>
      <c r="BP38">
        <v>22</v>
      </c>
      <c r="BQ38">
        <v>32.4</v>
      </c>
      <c r="BR38">
        <v>22</v>
      </c>
      <c r="BS38">
        <v>9.84</v>
      </c>
      <c r="BT38" s="5"/>
      <c r="BU38" s="1">
        <v>113</v>
      </c>
    </row>
    <row r="39" spans="1:73" x14ac:dyDescent="0.3">
      <c r="A39" s="1">
        <v>20</v>
      </c>
      <c r="B39" s="1" t="s">
        <v>17</v>
      </c>
      <c r="C39" s="1">
        <v>63</v>
      </c>
      <c r="D39" s="4">
        <v>22.49</v>
      </c>
      <c r="E39" s="1">
        <v>24</v>
      </c>
      <c r="F39" s="1">
        <v>12</v>
      </c>
      <c r="G39" s="1">
        <v>55</v>
      </c>
      <c r="H39" s="1">
        <v>0.7</v>
      </c>
      <c r="I39" s="1"/>
      <c r="J39" s="1">
        <v>3.7</v>
      </c>
      <c r="K39" s="1">
        <v>100.2</v>
      </c>
      <c r="L39" s="1">
        <v>21.8</v>
      </c>
      <c r="M39" s="1">
        <v>197</v>
      </c>
      <c r="N39" s="1">
        <v>74</v>
      </c>
      <c r="O39" s="1">
        <v>124</v>
      </c>
      <c r="P39" s="1">
        <v>72</v>
      </c>
      <c r="Q39" s="1"/>
      <c r="R39" s="1">
        <v>79</v>
      </c>
      <c r="S39" s="1">
        <v>5.2</v>
      </c>
      <c r="T39" s="1">
        <v>15</v>
      </c>
      <c r="U39" s="1">
        <v>0.73</v>
      </c>
      <c r="V39" s="1">
        <v>103</v>
      </c>
      <c r="W39" s="1">
        <v>91.7</v>
      </c>
      <c r="X39" s="1"/>
      <c r="Y39" s="1"/>
      <c r="Z39" s="1"/>
      <c r="AA39" s="8">
        <v>4.3E-3</v>
      </c>
      <c r="AB39" s="8">
        <v>8.2199999999999995E-2</v>
      </c>
      <c r="AC39" s="8">
        <v>3.1399999999999997E-2</v>
      </c>
      <c r="AD39" s="8">
        <v>6.5000000000000002E-2</v>
      </c>
      <c r="AE39" s="8">
        <v>1.7399999999999999E-2</v>
      </c>
      <c r="AF39" s="8">
        <v>0.64200000000000002</v>
      </c>
      <c r="AG39" s="8"/>
      <c r="AH39" s="5">
        <v>3.7100000000000001E-2</v>
      </c>
      <c r="AI39" s="5">
        <v>1.5699999999999999E-2</v>
      </c>
      <c r="AJ39" s="5">
        <v>1.7899999999999999E-2</v>
      </c>
      <c r="AK39" s="5">
        <v>1.18E-2</v>
      </c>
      <c r="AL39" s="12">
        <f t="shared" si="1"/>
        <v>0.91749999999999998</v>
      </c>
      <c r="AM39" s="12"/>
      <c r="AN39" s="5">
        <v>0.208677</v>
      </c>
      <c r="AO39" s="5">
        <v>0.73599999999999999</v>
      </c>
      <c r="AP39" s="5">
        <v>1.323E-3</v>
      </c>
      <c r="AQ39" s="5">
        <v>7.0000000000000001E-3</v>
      </c>
      <c r="AR39" s="5"/>
      <c r="AS39" s="15">
        <v>0.26350000000000001</v>
      </c>
      <c r="AT39" s="15"/>
      <c r="AU39" s="5">
        <v>0.90100000000000002</v>
      </c>
      <c r="AV39" s="5">
        <v>0.61299999999999999</v>
      </c>
      <c r="AW39" s="5">
        <v>0.65300000000000002</v>
      </c>
      <c r="AX39" s="5">
        <v>0.45700000000000002</v>
      </c>
      <c r="AY39" s="5">
        <v>0.29799999999999999</v>
      </c>
      <c r="AZ39" s="5">
        <v>0.68899999999999995</v>
      </c>
      <c r="BA39" s="5">
        <v>0.755</v>
      </c>
      <c r="BB39" s="5">
        <v>0.29099999999999998</v>
      </c>
      <c r="BC39" s="5">
        <v>0.80700000000000005</v>
      </c>
      <c r="BD39" s="22">
        <v>0.50900000000000001</v>
      </c>
      <c r="BE39" s="22"/>
      <c r="BF39" s="5">
        <v>0.73599999999999999</v>
      </c>
      <c r="BG39" s="7">
        <v>5.1299999999999998E-2</v>
      </c>
      <c r="BH39" s="7">
        <v>4.4900000000000002E-2</v>
      </c>
      <c r="BI39" s="7">
        <v>0.14199999999999999</v>
      </c>
      <c r="BJ39" s="16">
        <v>2.4899999999999999E-2</v>
      </c>
      <c r="BK39" s="16"/>
      <c r="BL39">
        <v>78.100000000000009</v>
      </c>
      <c r="BM39">
        <v>15.2</v>
      </c>
      <c r="BN39">
        <v>1.58</v>
      </c>
      <c r="BO39">
        <v>5.0999999999999996</v>
      </c>
      <c r="BP39">
        <v>18.8</v>
      </c>
      <c r="BQ39">
        <v>30.7</v>
      </c>
      <c r="BR39">
        <v>40</v>
      </c>
      <c r="BS39">
        <v>23.3</v>
      </c>
      <c r="BT39" s="5"/>
      <c r="BU39" s="1">
        <v>79</v>
      </c>
    </row>
    <row r="40" spans="1:73" x14ac:dyDescent="0.3">
      <c r="A40" s="1">
        <v>21</v>
      </c>
      <c r="B40" s="1" t="s">
        <v>17</v>
      </c>
      <c r="C40" s="1">
        <v>63</v>
      </c>
      <c r="D40" s="4">
        <v>22.51</v>
      </c>
      <c r="E40" s="1">
        <v>18</v>
      </c>
      <c r="F40" s="1">
        <v>9</v>
      </c>
      <c r="G40" s="1">
        <v>67</v>
      </c>
      <c r="H40" s="1">
        <v>0.5</v>
      </c>
      <c r="I40" s="1"/>
      <c r="J40" s="1">
        <v>3.7</v>
      </c>
      <c r="K40" s="1">
        <v>98.7</v>
      </c>
      <c r="L40" s="1">
        <v>28</v>
      </c>
      <c r="M40" s="1">
        <v>233</v>
      </c>
      <c r="N40" s="1">
        <v>148</v>
      </c>
      <c r="O40" s="1">
        <v>157</v>
      </c>
      <c r="P40" s="1">
        <v>60</v>
      </c>
      <c r="Q40" s="1"/>
      <c r="R40" s="1">
        <v>91</v>
      </c>
      <c r="S40" s="1">
        <v>5.9</v>
      </c>
      <c r="T40" s="1">
        <v>21</v>
      </c>
      <c r="U40" s="1">
        <v>0.75</v>
      </c>
      <c r="V40" s="1">
        <v>83</v>
      </c>
      <c r="W40" s="1">
        <v>119.1</v>
      </c>
      <c r="X40" s="1"/>
      <c r="Y40" s="1"/>
      <c r="Z40" s="1"/>
      <c r="AA40" s="8">
        <v>3.2000000000000002E-3</v>
      </c>
      <c r="AB40" s="8">
        <v>0.14499999999999999</v>
      </c>
      <c r="AC40" s="8">
        <v>3.0800000000000001E-2</v>
      </c>
      <c r="AD40" s="8">
        <v>6.7299999999999999E-2</v>
      </c>
      <c r="AE40" s="8">
        <v>1.9099999999999999E-2</v>
      </c>
      <c r="AF40" s="8">
        <v>0.58699999999999997</v>
      </c>
      <c r="AG40" s="8"/>
      <c r="AH40" s="5">
        <v>6.9800000000000001E-2</v>
      </c>
      <c r="AI40" s="5">
        <v>2.64E-2</v>
      </c>
      <c r="AJ40" s="5">
        <v>2.0999999999999999E-3</v>
      </c>
      <c r="AK40" s="5">
        <v>2.0299999999999999E-2</v>
      </c>
      <c r="AL40" s="12">
        <f t="shared" si="1"/>
        <v>0.88139999999999996</v>
      </c>
      <c r="AM40" s="12"/>
      <c r="AN40" s="5">
        <v>0.21259529999999999</v>
      </c>
      <c r="AO40" s="5">
        <v>0.754</v>
      </c>
      <c r="AP40" s="5">
        <v>4.0469999999999997E-4</v>
      </c>
      <c r="AQ40" s="5">
        <v>5.3E-3</v>
      </c>
      <c r="AR40" s="5"/>
      <c r="AS40" s="10">
        <v>0.38450000000000001</v>
      </c>
      <c r="AT40" s="10"/>
      <c r="AU40" s="10">
        <v>0.83599999999999997</v>
      </c>
      <c r="AV40" s="10">
        <v>0.60399999999999998</v>
      </c>
      <c r="AW40" s="5">
        <v>0.68600000000000005</v>
      </c>
      <c r="AX40" s="5">
        <v>0.10199999999999999</v>
      </c>
      <c r="AY40" s="5">
        <v>0.251</v>
      </c>
      <c r="AZ40" s="10">
        <v>0.45600000000000002</v>
      </c>
      <c r="BA40" s="10">
        <v>0.625</v>
      </c>
      <c r="BB40" s="5">
        <v>0.28799999999999998</v>
      </c>
      <c r="BC40" s="5">
        <v>0.153</v>
      </c>
      <c r="BD40" s="22">
        <v>0.68700000000000006</v>
      </c>
      <c r="BE40" s="22"/>
      <c r="BF40" s="5">
        <v>0.69240000000000002</v>
      </c>
      <c r="BG40" s="5">
        <v>2.01E-2</v>
      </c>
      <c r="BH40" s="5">
        <v>3.0099999999999998E-2</v>
      </c>
      <c r="BI40" s="5">
        <v>0.1915</v>
      </c>
      <c r="BJ40" s="8">
        <v>6.3500000000000001E-2</v>
      </c>
      <c r="BK40" s="8"/>
      <c r="BL40">
        <v>76.7</v>
      </c>
      <c r="BM40">
        <v>20.7</v>
      </c>
      <c r="BN40">
        <v>1.52</v>
      </c>
      <c r="BO40">
        <v>1.0699999999999998</v>
      </c>
      <c r="BP40">
        <v>5.01</v>
      </c>
      <c r="BQ40">
        <v>11.799999999999999</v>
      </c>
      <c r="BR40">
        <v>7.6899999999999995</v>
      </c>
      <c r="BS40">
        <v>1.52</v>
      </c>
      <c r="BT40" s="5"/>
      <c r="BU40" s="1">
        <v>91</v>
      </c>
    </row>
    <row r="41" spans="1:73" x14ac:dyDescent="0.3">
      <c r="A41" s="1">
        <v>22</v>
      </c>
      <c r="B41" s="1" t="s">
        <v>19</v>
      </c>
      <c r="C41" s="1">
        <v>29</v>
      </c>
      <c r="D41" s="4">
        <v>23.76</v>
      </c>
      <c r="E41" s="1">
        <v>16</v>
      </c>
      <c r="F41" s="1">
        <v>16</v>
      </c>
      <c r="G41" s="1">
        <v>63</v>
      </c>
      <c r="H41" s="1">
        <v>0.6</v>
      </c>
      <c r="I41" s="1"/>
      <c r="J41" s="1">
        <v>3.6</v>
      </c>
      <c r="K41" s="1">
        <v>96.9</v>
      </c>
      <c r="L41" s="1">
        <v>29.1</v>
      </c>
      <c r="M41" s="1">
        <v>232</v>
      </c>
      <c r="N41" s="1">
        <v>96</v>
      </c>
      <c r="O41" s="1">
        <v>174</v>
      </c>
      <c r="P41" s="1">
        <v>55</v>
      </c>
      <c r="Q41" s="1"/>
      <c r="R41" s="1">
        <v>114</v>
      </c>
      <c r="S41" s="1">
        <v>5.3</v>
      </c>
      <c r="T41" s="1">
        <v>15</v>
      </c>
      <c r="U41" s="1">
        <v>0.79</v>
      </c>
      <c r="V41" s="1">
        <v>96</v>
      </c>
      <c r="W41" s="1">
        <v>81.099999999999994</v>
      </c>
      <c r="X41" s="1"/>
      <c r="Y41" s="1"/>
      <c r="Z41" s="1"/>
      <c r="AA41" s="8">
        <v>4.4999999999999997E-3</v>
      </c>
      <c r="AB41" s="8">
        <v>0.26500000000000001</v>
      </c>
      <c r="AC41" s="8">
        <v>5.0999999999999997E-2</v>
      </c>
      <c r="AD41" s="8">
        <v>0.115</v>
      </c>
      <c r="AE41" s="8">
        <v>2.3699999999999999E-2</v>
      </c>
      <c r="AF41" s="8">
        <v>0.36299999999999999</v>
      </c>
      <c r="AG41" s="8"/>
      <c r="AH41" s="5">
        <v>8.0600000000000005E-2</v>
      </c>
      <c r="AI41" s="5">
        <v>2.6800000000000001E-2</v>
      </c>
      <c r="AJ41" s="5">
        <v>8.0000000000000002E-3</v>
      </c>
      <c r="AK41" s="5">
        <v>6.9900000000000004E-2</v>
      </c>
      <c r="AL41" s="12">
        <f t="shared" si="1"/>
        <v>0.81469999999999998</v>
      </c>
      <c r="AM41" s="12"/>
      <c r="AN41" s="5">
        <v>0.2483775</v>
      </c>
      <c r="AO41" s="5">
        <v>0.68700000000000006</v>
      </c>
      <c r="AP41" s="5">
        <v>6.2250000000000001E-4</v>
      </c>
      <c r="AQ41" s="5">
        <v>2.0799999999999999E-2</v>
      </c>
      <c r="AR41" s="5"/>
      <c r="AS41" s="10">
        <v>0.31900000000000001</v>
      </c>
      <c r="AT41" s="10"/>
      <c r="AU41" s="5">
        <v>0.68400000000000005</v>
      </c>
      <c r="AV41" s="5">
        <v>0.26600000000000001</v>
      </c>
      <c r="AW41" s="5">
        <v>0.51600000000000001</v>
      </c>
      <c r="AX41" s="5">
        <v>0.224</v>
      </c>
      <c r="AY41" s="5">
        <v>0.27400000000000002</v>
      </c>
      <c r="AZ41" s="5">
        <v>0.28799999999999998</v>
      </c>
      <c r="BA41" s="5">
        <v>0.44500000000000001</v>
      </c>
      <c r="BB41" s="5">
        <v>0.47599999999999998</v>
      </c>
      <c r="BC41" s="5">
        <v>0.28000000000000003</v>
      </c>
      <c r="BD41" s="22">
        <v>0.42599999999999999</v>
      </c>
      <c r="BE41" s="22"/>
      <c r="BF41" s="5">
        <v>0.77949999999999997</v>
      </c>
      <c r="BG41" s="5">
        <v>6.8999999999999999E-3</v>
      </c>
      <c r="BH41" s="5">
        <v>5.5199999999999999E-2</v>
      </c>
      <c r="BI41" s="5">
        <v>0.13400000000000001</v>
      </c>
      <c r="BJ41" s="8">
        <v>3.4399999999999999E-3</v>
      </c>
      <c r="BK41" s="8"/>
      <c r="BL41">
        <v>62.7</v>
      </c>
      <c r="BM41">
        <v>34.699999999999996</v>
      </c>
      <c r="BN41">
        <v>1.43</v>
      </c>
      <c r="BO41">
        <v>1.1400000000000001</v>
      </c>
      <c r="BP41">
        <v>14.899999999999999</v>
      </c>
      <c r="BQ41">
        <v>24.5</v>
      </c>
      <c r="BR41">
        <v>25.8</v>
      </c>
      <c r="BS41">
        <v>11.799999999999999</v>
      </c>
      <c r="BT41" s="5"/>
      <c r="BU41" s="1">
        <v>114</v>
      </c>
    </row>
    <row r="42" spans="1:73" x14ac:dyDescent="0.3">
      <c r="A42" s="1">
        <v>23</v>
      </c>
      <c r="B42" s="1" t="s">
        <v>17</v>
      </c>
      <c r="C42" s="1">
        <v>38</v>
      </c>
      <c r="D42" s="4">
        <v>19.66</v>
      </c>
      <c r="E42" s="1">
        <v>17</v>
      </c>
      <c r="F42" s="1">
        <v>11</v>
      </c>
      <c r="G42" s="1">
        <v>51</v>
      </c>
      <c r="H42" s="1">
        <v>0.7</v>
      </c>
      <c r="I42" s="1"/>
      <c r="J42" s="1">
        <v>4</v>
      </c>
      <c r="K42" s="1">
        <v>111.9</v>
      </c>
      <c r="L42" s="1">
        <v>25.4</v>
      </c>
      <c r="M42" s="1">
        <v>231</v>
      </c>
      <c r="N42" s="1">
        <v>118</v>
      </c>
      <c r="O42" s="1">
        <v>170</v>
      </c>
      <c r="P42" s="1">
        <v>55</v>
      </c>
      <c r="Q42" s="1"/>
      <c r="R42" s="1">
        <v>82</v>
      </c>
      <c r="S42" s="1">
        <v>5.9</v>
      </c>
      <c r="T42" s="1">
        <v>10</v>
      </c>
      <c r="U42" s="1">
        <v>0.83</v>
      </c>
      <c r="V42" s="1">
        <v>102</v>
      </c>
      <c r="W42" s="1">
        <v>91.1</v>
      </c>
      <c r="X42" s="1"/>
      <c r="Y42" s="1"/>
      <c r="Z42" s="1"/>
      <c r="AA42" s="8">
        <v>7.7000000000000002E-3</v>
      </c>
      <c r="AB42" s="8">
        <v>0.111</v>
      </c>
      <c r="AC42" s="8">
        <v>3.5799999999999998E-2</v>
      </c>
      <c r="AD42" s="8">
        <v>6.1899999999999997E-2</v>
      </c>
      <c r="AE42" s="8">
        <v>6.3500000000000001E-2</v>
      </c>
      <c r="AF42" s="8">
        <v>0.52500000000000002</v>
      </c>
      <c r="AG42" s="8"/>
      <c r="AH42" s="5">
        <v>0.11700000000000001</v>
      </c>
      <c r="AI42" s="5">
        <v>1.55E-2</v>
      </c>
      <c r="AJ42" s="5">
        <v>2.5000000000000001E-3</v>
      </c>
      <c r="AK42" s="5">
        <v>8.8999999999999999E-3</v>
      </c>
      <c r="AL42" s="12">
        <f t="shared" si="1"/>
        <v>0.85609999999999997</v>
      </c>
      <c r="AM42" s="12"/>
      <c r="AN42" s="5">
        <v>0.48217889999999997</v>
      </c>
      <c r="AO42" s="5">
        <v>0.45200000000000001</v>
      </c>
      <c r="AP42" s="5">
        <v>8.2109999999999995E-4</v>
      </c>
      <c r="AQ42" s="5">
        <v>5.3E-3</v>
      </c>
      <c r="AR42" s="5"/>
      <c r="AS42" s="10">
        <v>0.41749999999999998</v>
      </c>
      <c r="AT42" s="10"/>
      <c r="AU42" s="5">
        <v>0.57999999999999996</v>
      </c>
      <c r="AV42" s="5">
        <v>0.34300000000000003</v>
      </c>
      <c r="AW42" s="5">
        <v>0.377</v>
      </c>
      <c r="AX42" s="5">
        <v>0.17100000000000001</v>
      </c>
      <c r="AY42" s="5">
        <v>0.16900000000000001</v>
      </c>
      <c r="AZ42" s="5">
        <v>0.252</v>
      </c>
      <c r="BA42" s="5">
        <v>0.504</v>
      </c>
      <c r="BB42" s="5">
        <v>0.61399999999999999</v>
      </c>
      <c r="BC42" s="5">
        <v>0.2</v>
      </c>
      <c r="BD42" s="22">
        <v>0.56499999999999995</v>
      </c>
      <c r="BE42" s="22"/>
      <c r="BF42" s="5">
        <v>0.84609999999999996</v>
      </c>
      <c r="BG42" s="5">
        <v>4.02E-2</v>
      </c>
      <c r="BH42" s="5">
        <v>4.4400000000000002E-2</v>
      </c>
      <c r="BI42" s="5">
        <v>5.5500000000000001E-2</v>
      </c>
      <c r="BJ42" s="8">
        <v>1.38E-2</v>
      </c>
      <c r="BK42" s="8"/>
      <c r="BL42">
        <v>62</v>
      </c>
      <c r="BM42">
        <v>32.300000000000004</v>
      </c>
      <c r="BN42">
        <v>3.7800000000000002</v>
      </c>
      <c r="BO42">
        <v>1.91</v>
      </c>
      <c r="BP42">
        <v>12.2</v>
      </c>
      <c r="BQ42">
        <v>18.099999999999998</v>
      </c>
      <c r="BR42">
        <v>17.100000000000001</v>
      </c>
      <c r="BS42">
        <v>7.32</v>
      </c>
      <c r="BT42" s="5"/>
      <c r="BU42" s="1">
        <v>82</v>
      </c>
    </row>
    <row r="43" spans="1:73" x14ac:dyDescent="0.3">
      <c r="A43" s="1">
        <v>24</v>
      </c>
      <c r="B43" s="1" t="s">
        <v>17</v>
      </c>
      <c r="C43" s="1">
        <v>36</v>
      </c>
      <c r="D43" s="4">
        <v>26.06</v>
      </c>
      <c r="E43" s="1">
        <v>19</v>
      </c>
      <c r="F43" s="1">
        <v>11</v>
      </c>
      <c r="G43" s="1">
        <v>61</v>
      </c>
      <c r="H43" s="1">
        <v>0.3</v>
      </c>
      <c r="I43" s="1"/>
      <c r="J43" s="1">
        <v>3.9</v>
      </c>
      <c r="K43" s="1">
        <v>83.3</v>
      </c>
      <c r="L43" s="1">
        <v>31.8</v>
      </c>
      <c r="M43" s="1">
        <v>157</v>
      </c>
      <c r="N43" s="1">
        <v>83</v>
      </c>
      <c r="O43" s="1">
        <v>95</v>
      </c>
      <c r="P43" s="1">
        <v>54</v>
      </c>
      <c r="Q43" s="1"/>
      <c r="R43" s="1">
        <v>82</v>
      </c>
      <c r="S43" s="1">
        <v>5.2</v>
      </c>
      <c r="T43" s="1">
        <v>12</v>
      </c>
      <c r="U43" s="1">
        <v>0.98</v>
      </c>
      <c r="V43" s="1">
        <v>109</v>
      </c>
      <c r="W43" s="1">
        <v>62.2</v>
      </c>
      <c r="X43" s="1"/>
      <c r="Y43" s="1"/>
      <c r="Z43" s="1"/>
      <c r="AA43" s="8">
        <v>1.03E-2</v>
      </c>
      <c r="AB43" s="8">
        <v>0.27100000000000002</v>
      </c>
      <c r="AC43" s="8">
        <v>5.7000000000000002E-2</v>
      </c>
      <c r="AD43" s="8">
        <v>0.109</v>
      </c>
      <c r="AE43" s="8">
        <v>2.98E-2</v>
      </c>
      <c r="AF43" s="8">
        <v>0.34699999999999998</v>
      </c>
      <c r="AG43" s="8"/>
      <c r="AH43" s="5">
        <v>0.114</v>
      </c>
      <c r="AI43" s="5">
        <v>3.04E-2</v>
      </c>
      <c r="AJ43" s="5">
        <v>7.0000000000000001E-3</v>
      </c>
      <c r="AK43" s="5">
        <v>0.14399999999999999</v>
      </c>
      <c r="AL43" s="12">
        <f t="shared" si="1"/>
        <v>0.7046</v>
      </c>
      <c r="AM43" s="12"/>
      <c r="AN43" s="5">
        <v>0.37774296000000002</v>
      </c>
      <c r="AO43" s="5">
        <v>0.51300000000000001</v>
      </c>
      <c r="AP43" s="5">
        <v>2.5704000000000005E-4</v>
      </c>
      <c r="AQ43" s="5">
        <v>1.12E-2</v>
      </c>
      <c r="AR43" s="5"/>
      <c r="AS43" s="10">
        <v>0.377</v>
      </c>
      <c r="AT43" s="10"/>
      <c r="AU43" s="7">
        <v>0.437</v>
      </c>
      <c r="AV43" s="5">
        <v>0.27600000000000002</v>
      </c>
      <c r="AW43" s="5">
        <v>0.375</v>
      </c>
      <c r="AX43" s="5">
        <v>0.51400000000000001</v>
      </c>
      <c r="AY43" s="5">
        <v>0.30399999999999999</v>
      </c>
      <c r="AZ43" s="7">
        <v>0.27100000000000002</v>
      </c>
      <c r="BA43" s="5">
        <v>0.43</v>
      </c>
      <c r="BB43" s="5">
        <v>0.60499999999999998</v>
      </c>
      <c r="BC43" s="5">
        <v>0.28599999999999998</v>
      </c>
      <c r="BD43" s="22">
        <v>0.67800000000000005</v>
      </c>
      <c r="BE43" s="22"/>
      <c r="BF43" s="5">
        <v>0.86250000000000004</v>
      </c>
      <c r="BG43" s="7">
        <v>3.7900000000000003E-2</v>
      </c>
      <c r="BH43" s="7">
        <v>0.02</v>
      </c>
      <c r="BI43" s="7">
        <v>5.79E-2</v>
      </c>
      <c r="BJ43" s="16">
        <v>0.02</v>
      </c>
      <c r="BK43" s="16"/>
      <c r="BL43">
        <v>71</v>
      </c>
      <c r="BM43">
        <v>22.400000000000002</v>
      </c>
      <c r="BN43">
        <v>3.52</v>
      </c>
      <c r="BO43">
        <v>3.0300000000000002</v>
      </c>
      <c r="BP43">
        <v>3.61</v>
      </c>
      <c r="BQ43">
        <v>12</v>
      </c>
      <c r="BR43">
        <v>15.4</v>
      </c>
      <c r="BS43">
        <v>1.23</v>
      </c>
      <c r="BT43" s="5"/>
      <c r="BU43" s="1">
        <v>82</v>
      </c>
    </row>
    <row r="44" spans="1:73" x14ac:dyDescent="0.3">
      <c r="A44" s="1">
        <v>25</v>
      </c>
      <c r="B44" s="1" t="s">
        <v>17</v>
      </c>
      <c r="C44" s="1">
        <v>70</v>
      </c>
      <c r="D44" s="4">
        <v>24.08</v>
      </c>
      <c r="E44" s="1">
        <v>22</v>
      </c>
      <c r="F44" s="1">
        <v>20</v>
      </c>
      <c r="G44" s="1">
        <v>69</v>
      </c>
      <c r="H44" s="1">
        <v>0.4</v>
      </c>
      <c r="I44" s="1"/>
      <c r="J44" s="1">
        <v>3.9</v>
      </c>
      <c r="K44" s="1">
        <v>94.5</v>
      </c>
      <c r="L44" s="1">
        <v>31.3</v>
      </c>
      <c r="M44" s="1">
        <v>237</v>
      </c>
      <c r="N44" s="1">
        <v>109</v>
      </c>
      <c r="O44" s="1">
        <v>181</v>
      </c>
      <c r="P44" s="1">
        <v>54</v>
      </c>
      <c r="Q44" s="1"/>
      <c r="R44" s="1">
        <v>100</v>
      </c>
      <c r="S44" s="1">
        <v>5.5</v>
      </c>
      <c r="T44" s="1">
        <v>13</v>
      </c>
      <c r="U44" s="1">
        <v>0.9</v>
      </c>
      <c r="V44" s="1">
        <v>94</v>
      </c>
      <c r="W44" s="1">
        <v>89</v>
      </c>
      <c r="X44" s="1"/>
      <c r="Y44" s="1"/>
      <c r="Z44" s="1"/>
      <c r="AA44" s="8">
        <v>8.3999999999999995E-3</v>
      </c>
      <c r="AB44" s="8">
        <v>0.17499999999999999</v>
      </c>
      <c r="AC44" s="8">
        <v>6.7000000000000004E-2</v>
      </c>
      <c r="AD44" s="8">
        <v>5.5500000000000001E-2</v>
      </c>
      <c r="AE44" s="8">
        <v>1.5100000000000001E-2</v>
      </c>
      <c r="AF44" s="8">
        <v>0.53300000000000003</v>
      </c>
      <c r="AG44" s="8"/>
      <c r="AH44" s="5">
        <v>5.3400000000000003E-2</v>
      </c>
      <c r="AI44" s="5">
        <v>4.1099999999999998E-2</v>
      </c>
      <c r="AJ44" s="5">
        <v>2.3999999999999998E-3</v>
      </c>
      <c r="AK44" s="5">
        <v>3.2000000000000002E-3</v>
      </c>
      <c r="AL44" s="12">
        <f t="shared" si="1"/>
        <v>0.89990000000000003</v>
      </c>
      <c r="AM44" s="12"/>
      <c r="AN44" s="5">
        <v>0.36357300000000004</v>
      </c>
      <c r="AO44" s="5">
        <v>0.48399999999999999</v>
      </c>
      <c r="AP44" s="5">
        <v>3.4426999999999999E-2</v>
      </c>
      <c r="AQ44" s="5">
        <v>7.7700000000000005E-2</v>
      </c>
      <c r="AR44" s="5"/>
      <c r="AS44" s="10">
        <v>0.33700000000000002</v>
      </c>
      <c r="AT44" s="10"/>
      <c r="AU44" s="10">
        <v>0.72899999999999998</v>
      </c>
      <c r="AV44" s="10">
        <v>0.83599999999999997</v>
      </c>
      <c r="AW44" s="5">
        <v>0.40200000000000002</v>
      </c>
      <c r="AX44" s="5">
        <v>0.40500000000000003</v>
      </c>
      <c r="AY44" s="5">
        <v>0.45500000000000002</v>
      </c>
      <c r="AZ44" s="10">
        <v>0.28599999999999998</v>
      </c>
      <c r="BA44" s="10">
        <v>0.83799999999999997</v>
      </c>
      <c r="BB44" s="5">
        <v>0.57899999999999996</v>
      </c>
      <c r="BC44" s="5">
        <v>0.90500000000000003</v>
      </c>
      <c r="BD44" s="22">
        <v>0.58199999999999996</v>
      </c>
      <c r="BE44" s="22"/>
      <c r="BF44" s="5">
        <v>0.88439999999999996</v>
      </c>
      <c r="BG44" s="5">
        <v>2.06E-2</v>
      </c>
      <c r="BH44" s="5">
        <v>1.21E-2</v>
      </c>
      <c r="BI44" s="5">
        <v>4.9799999999999997E-2</v>
      </c>
      <c r="BJ44" s="8">
        <v>3.15E-2</v>
      </c>
      <c r="BK44" s="8"/>
      <c r="BL44">
        <v>71.3</v>
      </c>
      <c r="BM44">
        <v>25.7</v>
      </c>
      <c r="BN44">
        <v>0.48</v>
      </c>
      <c r="BO44">
        <v>2.4899999999999998</v>
      </c>
      <c r="BP44">
        <v>1.0900000000000001</v>
      </c>
      <c r="BQ44">
        <v>2.75</v>
      </c>
      <c r="BR44">
        <v>1.23</v>
      </c>
      <c r="BS44">
        <v>0.67</v>
      </c>
      <c r="BT44" s="5"/>
      <c r="BU44" s="1">
        <v>100</v>
      </c>
    </row>
    <row r="45" spans="1:73" x14ac:dyDescent="0.3">
      <c r="A45" s="1">
        <v>26</v>
      </c>
      <c r="B45" s="1" t="s">
        <v>19</v>
      </c>
      <c r="C45" s="1">
        <v>62</v>
      </c>
      <c r="D45" s="4">
        <v>23.28</v>
      </c>
      <c r="E45" s="1">
        <v>23</v>
      </c>
      <c r="F45" s="1">
        <v>24</v>
      </c>
      <c r="G45" s="1">
        <v>56</v>
      </c>
      <c r="H45" s="1">
        <v>0.3</v>
      </c>
      <c r="I45" s="1"/>
      <c r="J45" s="1">
        <v>4.3</v>
      </c>
      <c r="K45" s="1">
        <v>103.5</v>
      </c>
      <c r="L45" s="1">
        <v>31.9</v>
      </c>
      <c r="M45" s="1">
        <v>174</v>
      </c>
      <c r="N45" s="1">
        <v>63</v>
      </c>
      <c r="O45" s="1">
        <v>106</v>
      </c>
      <c r="P45" s="1">
        <v>59</v>
      </c>
      <c r="Q45" s="1"/>
      <c r="R45" s="1">
        <v>91</v>
      </c>
      <c r="S45" s="1">
        <v>5.0999999999999996</v>
      </c>
      <c r="T45" s="1">
        <v>15</v>
      </c>
      <c r="U45" s="1">
        <v>0.6</v>
      </c>
      <c r="V45" s="1">
        <v>124</v>
      </c>
      <c r="W45" s="1">
        <v>130.6</v>
      </c>
      <c r="X45" s="1"/>
      <c r="Y45" s="1"/>
      <c r="Z45" s="1"/>
      <c r="AA45" s="8">
        <v>7.6E-3</v>
      </c>
      <c r="AB45" s="8">
        <v>0.11600000000000001</v>
      </c>
      <c r="AC45" s="8">
        <v>3.5400000000000001E-2</v>
      </c>
      <c r="AD45" s="8">
        <v>6.3100000000000003E-2</v>
      </c>
      <c r="AE45" s="8">
        <v>1.7600000000000001E-2</v>
      </c>
      <c r="AF45" s="8">
        <v>0.60399999999999998</v>
      </c>
      <c r="AG45" s="8"/>
      <c r="AH45" s="10">
        <v>4.2200000000000001E-2</v>
      </c>
      <c r="AI45" s="10">
        <v>1.21E-2</v>
      </c>
      <c r="AJ45" s="10">
        <v>1.1000000000000001E-3</v>
      </c>
      <c r="AK45" s="10">
        <v>3.8999999999999998E-3</v>
      </c>
      <c r="AL45" s="12">
        <f t="shared" si="1"/>
        <v>0.94069999999999998</v>
      </c>
      <c r="AM45" s="12"/>
      <c r="AN45" s="10">
        <v>0.21673440000000002</v>
      </c>
      <c r="AO45" s="10">
        <v>0.68200000000000005</v>
      </c>
      <c r="AP45" s="5">
        <v>1.5265600000000001E-2</v>
      </c>
      <c r="AQ45" s="10">
        <v>6.2399999999999997E-2</v>
      </c>
      <c r="AR45" s="10"/>
      <c r="AS45" s="13">
        <v>0.38950000000000001</v>
      </c>
      <c r="AT45" s="13"/>
      <c r="AU45" s="10">
        <v>0.373</v>
      </c>
      <c r="AV45" s="10">
        <v>0.22800000000000001</v>
      </c>
      <c r="AW45" s="5">
        <v>0.17199999999999999</v>
      </c>
      <c r="AX45" s="5">
        <v>0.55600000000000005</v>
      </c>
      <c r="AY45" s="5">
        <v>0.32100000000000001</v>
      </c>
      <c r="AZ45" s="10">
        <v>0.48699999999999999</v>
      </c>
      <c r="BA45" s="10">
        <v>0.56599999999999995</v>
      </c>
      <c r="BB45" s="5">
        <v>0.29499999999999998</v>
      </c>
      <c r="BC45" s="5">
        <v>0.46700000000000003</v>
      </c>
      <c r="BD45" s="22">
        <v>0.71699999999999997</v>
      </c>
      <c r="BE45" s="22"/>
      <c r="BF45" s="5">
        <v>0.86109999999999998</v>
      </c>
      <c r="BG45" s="5">
        <v>1.38E-2</v>
      </c>
      <c r="BH45" s="5">
        <v>2.58E-2</v>
      </c>
      <c r="BI45" s="5">
        <v>6.1600000000000002E-2</v>
      </c>
      <c r="BJ45" s="8">
        <v>3.6799999999999999E-2</v>
      </c>
      <c r="BK45" s="8"/>
      <c r="BL45">
        <v>71.5</v>
      </c>
      <c r="BM45">
        <v>24.2</v>
      </c>
      <c r="BN45">
        <v>1.3</v>
      </c>
      <c r="BO45">
        <v>2.92</v>
      </c>
      <c r="BP45">
        <v>7.6899999999999995</v>
      </c>
      <c r="BQ45">
        <v>12.4</v>
      </c>
      <c r="BR45">
        <v>13.900000000000002</v>
      </c>
      <c r="BS45">
        <v>14.299999999999999</v>
      </c>
      <c r="BT45" s="5"/>
      <c r="BU45" s="1">
        <v>91</v>
      </c>
    </row>
    <row r="46" spans="1:73" x14ac:dyDescent="0.3">
      <c r="AN46" s="5"/>
      <c r="AO46" s="5"/>
      <c r="AP46" s="5"/>
      <c r="AQ46" s="5"/>
      <c r="AR46" s="5"/>
    </row>
    <row r="47" spans="1:73" x14ac:dyDescent="0.3">
      <c r="AN47" s="5"/>
      <c r="AO47" s="5"/>
      <c r="AP47" s="11"/>
      <c r="AQ47" s="5"/>
      <c r="AR47" s="5"/>
    </row>
    <row r="48" spans="1:73" x14ac:dyDescent="0.3">
      <c r="AN48" s="5"/>
      <c r="AO48" s="5"/>
      <c r="AP48" s="5"/>
      <c r="AQ48" s="5"/>
      <c r="AR48" s="5"/>
    </row>
    <row r="49" spans="40:44" x14ac:dyDescent="0.3">
      <c r="AN49" s="5"/>
      <c r="AO49" s="5"/>
      <c r="AP49" s="5"/>
      <c r="AQ49" s="5"/>
      <c r="AR49" s="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CB08-1C9C-4027-8D85-237F380E5920}">
  <dimension ref="A1:W22"/>
  <sheetViews>
    <sheetView workbookViewId="0">
      <selection activeCell="T17" sqref="T17"/>
    </sheetView>
  </sheetViews>
  <sheetFormatPr defaultRowHeight="16.5" x14ac:dyDescent="0.3"/>
  <sheetData>
    <row r="1" spans="1:23" x14ac:dyDescent="0.3">
      <c r="A1" s="1">
        <v>5</v>
      </c>
      <c r="B1" s="1" t="s">
        <v>17</v>
      </c>
      <c r="C1" s="1">
        <v>29</v>
      </c>
      <c r="D1" s="4">
        <v>23.77</v>
      </c>
      <c r="E1" s="1">
        <v>17</v>
      </c>
      <c r="F1" s="1">
        <v>7</v>
      </c>
      <c r="G1" s="1">
        <v>45</v>
      </c>
      <c r="H1" s="1">
        <v>0.3</v>
      </c>
      <c r="I1" s="1"/>
      <c r="J1" s="1">
        <v>4.0999999999999996</v>
      </c>
      <c r="K1" s="1">
        <v>106.6</v>
      </c>
      <c r="L1" s="1">
        <v>28.2</v>
      </c>
      <c r="M1" s="1">
        <v>207</v>
      </c>
      <c r="N1" s="1">
        <v>462</v>
      </c>
      <c r="O1" s="1">
        <v>105</v>
      </c>
      <c r="P1" s="1">
        <v>38</v>
      </c>
      <c r="Q1" s="1"/>
      <c r="R1" s="1">
        <v>104</v>
      </c>
      <c r="S1" s="1">
        <v>5.0999999999999996</v>
      </c>
      <c r="T1" s="1">
        <v>25</v>
      </c>
      <c r="U1" s="1">
        <v>0.77</v>
      </c>
      <c r="V1" s="1">
        <v>98</v>
      </c>
      <c r="W1" s="1">
        <v>107</v>
      </c>
    </row>
    <row r="2" spans="1:23" x14ac:dyDescent="0.3">
      <c r="A2" s="1">
        <v>6</v>
      </c>
      <c r="B2" s="1" t="s">
        <v>19</v>
      </c>
      <c r="C2" s="1">
        <v>58</v>
      </c>
      <c r="D2" s="4">
        <v>24.91</v>
      </c>
      <c r="E2" s="1">
        <v>17</v>
      </c>
      <c r="F2" s="1">
        <v>16</v>
      </c>
      <c r="G2" s="1">
        <v>76</v>
      </c>
      <c r="H2" s="1">
        <v>0.7</v>
      </c>
      <c r="I2" s="1"/>
      <c r="J2" s="1">
        <v>3.8</v>
      </c>
      <c r="K2" s="1">
        <v>95.6</v>
      </c>
      <c r="L2" s="1">
        <v>27.2</v>
      </c>
      <c r="M2" s="1">
        <v>170</v>
      </c>
      <c r="N2" s="1">
        <v>86</v>
      </c>
      <c r="O2" s="1">
        <v>100</v>
      </c>
      <c r="P2" s="1">
        <v>66</v>
      </c>
      <c r="Q2" s="1"/>
      <c r="R2" s="1">
        <v>97</v>
      </c>
      <c r="S2" s="1">
        <v>5.8</v>
      </c>
      <c r="T2" s="1">
        <v>22</v>
      </c>
      <c r="U2" s="1">
        <v>0.61</v>
      </c>
      <c r="V2" s="1">
        <v>92</v>
      </c>
      <c r="W2" s="1">
        <v>84.6</v>
      </c>
    </row>
    <row r="3" spans="1:23" x14ac:dyDescent="0.3">
      <c r="A3" s="1">
        <v>7</v>
      </c>
      <c r="B3" s="1" t="s">
        <v>19</v>
      </c>
      <c r="C3" s="1">
        <v>22</v>
      </c>
      <c r="D3" s="4">
        <v>19.75</v>
      </c>
      <c r="E3" s="1">
        <v>14</v>
      </c>
      <c r="F3" s="1">
        <v>24</v>
      </c>
      <c r="G3" s="1">
        <v>79</v>
      </c>
      <c r="H3" s="1">
        <v>0.9</v>
      </c>
      <c r="I3" s="1"/>
      <c r="J3" s="1">
        <v>4.2</v>
      </c>
      <c r="K3" s="1">
        <v>122.3</v>
      </c>
      <c r="L3" s="1">
        <v>24.1</v>
      </c>
      <c r="M3" s="1">
        <v>135</v>
      </c>
      <c r="N3" s="1">
        <v>81</v>
      </c>
      <c r="O3" s="1">
        <v>89</v>
      </c>
      <c r="P3" s="1">
        <v>44</v>
      </c>
      <c r="Q3" s="1"/>
      <c r="R3" s="1">
        <v>91</v>
      </c>
      <c r="S3" s="1">
        <v>5.7</v>
      </c>
      <c r="T3" s="1">
        <v>5</v>
      </c>
      <c r="U3" s="1">
        <v>0.62</v>
      </c>
      <c r="V3" s="1">
        <v>116</v>
      </c>
      <c r="W3" s="1">
        <v>127.4</v>
      </c>
    </row>
    <row r="4" spans="1:23" x14ac:dyDescent="0.3">
      <c r="A4" s="1">
        <v>8</v>
      </c>
      <c r="B4" s="1" t="s">
        <v>19</v>
      </c>
      <c r="C4" s="1">
        <v>51</v>
      </c>
      <c r="D4" s="4">
        <v>24.84</v>
      </c>
      <c r="E4" s="1">
        <v>19</v>
      </c>
      <c r="F4" s="1">
        <v>18</v>
      </c>
      <c r="G4" s="1">
        <v>108</v>
      </c>
      <c r="H4" s="1">
        <v>0.4</v>
      </c>
      <c r="I4" s="1"/>
      <c r="J4" s="1">
        <v>4.5</v>
      </c>
      <c r="K4" s="1">
        <v>105</v>
      </c>
      <c r="L4" s="1">
        <v>25.3</v>
      </c>
      <c r="M4" s="1">
        <v>198</v>
      </c>
      <c r="N4" s="1">
        <v>58</v>
      </c>
      <c r="O4" s="1">
        <v>140</v>
      </c>
      <c r="P4" s="1">
        <v>62</v>
      </c>
      <c r="Q4" s="1"/>
      <c r="R4" s="1">
        <v>86</v>
      </c>
      <c r="S4" s="1">
        <v>5.5</v>
      </c>
      <c r="T4" s="1">
        <v>15</v>
      </c>
      <c r="U4" s="1">
        <v>0.75</v>
      </c>
      <c r="V4" s="1">
        <v>101</v>
      </c>
      <c r="W4" s="1">
        <v>130.4</v>
      </c>
    </row>
    <row r="5" spans="1:23" x14ac:dyDescent="0.3">
      <c r="A5" s="1">
        <v>9</v>
      </c>
      <c r="B5" s="1" t="s">
        <v>17</v>
      </c>
      <c r="C5" s="1">
        <v>67</v>
      </c>
      <c r="D5" s="4">
        <v>25.82</v>
      </c>
      <c r="E5" s="1">
        <v>19</v>
      </c>
      <c r="F5" s="1">
        <v>15</v>
      </c>
      <c r="G5" s="1">
        <v>79</v>
      </c>
      <c r="H5" s="1">
        <v>0.4</v>
      </c>
      <c r="I5" s="1"/>
      <c r="J5" s="1">
        <v>4.2</v>
      </c>
      <c r="K5" s="1">
        <v>100.2</v>
      </c>
      <c r="L5" s="1">
        <v>28.5</v>
      </c>
      <c r="M5" s="1">
        <v>214</v>
      </c>
      <c r="N5" s="1">
        <v>57</v>
      </c>
      <c r="O5" s="1">
        <v>150</v>
      </c>
      <c r="P5" s="1">
        <v>59</v>
      </c>
      <c r="Q5" s="1"/>
      <c r="R5" s="1">
        <v>89</v>
      </c>
      <c r="S5" s="1">
        <v>5</v>
      </c>
      <c r="T5" s="1">
        <v>10</v>
      </c>
      <c r="U5" s="1">
        <v>0.86</v>
      </c>
      <c r="V5" s="1">
        <v>118</v>
      </c>
      <c r="W5" s="1">
        <v>77.8</v>
      </c>
    </row>
    <row r="6" spans="1:23" x14ac:dyDescent="0.3">
      <c r="A6" s="1">
        <v>10</v>
      </c>
      <c r="B6" s="1" t="s">
        <v>19</v>
      </c>
      <c r="C6" s="1">
        <v>62</v>
      </c>
      <c r="D6" s="4">
        <v>23.75</v>
      </c>
      <c r="E6" s="1">
        <v>19</v>
      </c>
      <c r="F6" s="1">
        <v>14</v>
      </c>
      <c r="G6" s="1">
        <v>49</v>
      </c>
      <c r="H6" s="1">
        <v>0.6</v>
      </c>
      <c r="I6" s="1"/>
      <c r="J6" s="1">
        <v>3.5</v>
      </c>
      <c r="K6" s="1">
        <v>107.8</v>
      </c>
      <c r="L6" s="1">
        <v>28.1</v>
      </c>
      <c r="M6" s="1">
        <v>196</v>
      </c>
      <c r="N6" s="1">
        <v>77</v>
      </c>
      <c r="O6" s="1">
        <v>145</v>
      </c>
      <c r="P6" s="1">
        <v>44</v>
      </c>
      <c r="Q6" s="1"/>
      <c r="R6" s="1">
        <v>89</v>
      </c>
      <c r="S6" s="1">
        <v>5.5</v>
      </c>
      <c r="T6" s="1">
        <v>16</v>
      </c>
      <c r="U6" s="1">
        <v>0.75</v>
      </c>
      <c r="V6" s="1">
        <v>86</v>
      </c>
      <c r="W6" s="1">
        <v>91.9</v>
      </c>
    </row>
    <row r="7" spans="1:23" x14ac:dyDescent="0.3">
      <c r="A7" s="1">
        <v>11</v>
      </c>
      <c r="B7" s="1" t="s">
        <v>17</v>
      </c>
      <c r="C7" s="1">
        <v>40</v>
      </c>
      <c r="D7" s="4">
        <v>17.78</v>
      </c>
      <c r="E7" s="1">
        <v>13</v>
      </c>
      <c r="F7" s="1">
        <v>6</v>
      </c>
      <c r="G7" s="1">
        <v>43</v>
      </c>
      <c r="H7" s="1">
        <v>0.3</v>
      </c>
      <c r="I7" s="1"/>
      <c r="J7" s="1">
        <v>4</v>
      </c>
      <c r="K7" s="1">
        <v>83.8</v>
      </c>
      <c r="L7" s="1">
        <v>30.1</v>
      </c>
      <c r="M7" s="1">
        <v>176</v>
      </c>
      <c r="N7" s="1">
        <v>59</v>
      </c>
      <c r="O7" s="1">
        <v>100</v>
      </c>
      <c r="P7" s="1">
        <v>62</v>
      </c>
      <c r="Q7" s="1"/>
      <c r="R7" s="1">
        <v>73</v>
      </c>
      <c r="S7" s="1">
        <v>5.4</v>
      </c>
      <c r="T7" s="1">
        <v>9</v>
      </c>
      <c r="U7" s="1">
        <v>1.1200000000000001</v>
      </c>
      <c r="V7" s="1">
        <v>94</v>
      </c>
      <c r="W7" s="1">
        <v>99.7</v>
      </c>
    </row>
    <row r="8" spans="1:23" x14ac:dyDescent="0.3">
      <c r="A8" s="1">
        <v>12</v>
      </c>
      <c r="B8" s="1" t="s">
        <v>17</v>
      </c>
      <c r="C8" s="1">
        <v>66</v>
      </c>
      <c r="D8" s="4">
        <v>22.13</v>
      </c>
      <c r="E8" s="1">
        <v>23</v>
      </c>
      <c r="F8" s="1">
        <v>15</v>
      </c>
      <c r="G8" s="1">
        <v>67</v>
      </c>
      <c r="H8" s="1">
        <v>0.6</v>
      </c>
      <c r="I8" s="1"/>
      <c r="J8" s="1">
        <v>4.3</v>
      </c>
      <c r="K8" s="1">
        <v>115.5</v>
      </c>
      <c r="L8" s="1">
        <v>26.2</v>
      </c>
      <c r="M8" s="1">
        <v>161</v>
      </c>
      <c r="N8" s="1">
        <v>115</v>
      </c>
      <c r="O8" s="1">
        <v>92</v>
      </c>
      <c r="P8" s="1">
        <v>51</v>
      </c>
      <c r="Q8" s="1"/>
      <c r="R8" s="1">
        <v>99</v>
      </c>
      <c r="S8" s="1">
        <v>5.8</v>
      </c>
      <c r="T8" s="1">
        <v>9</v>
      </c>
      <c r="U8" s="1">
        <v>0.72</v>
      </c>
      <c r="V8" s="1">
        <v>89</v>
      </c>
      <c r="W8" s="1">
        <v>104.5</v>
      </c>
    </row>
    <row r="9" spans="1:23" x14ac:dyDescent="0.3">
      <c r="A9" s="1">
        <v>13</v>
      </c>
      <c r="B9" s="1" t="s">
        <v>19</v>
      </c>
      <c r="C9" s="1">
        <v>52</v>
      </c>
      <c r="D9" s="4">
        <v>27.22</v>
      </c>
      <c r="E9" s="1">
        <v>22</v>
      </c>
      <c r="F9" s="1">
        <v>16</v>
      </c>
      <c r="G9" s="1">
        <v>69</v>
      </c>
      <c r="H9" s="1">
        <v>0.6</v>
      </c>
      <c r="I9" s="1"/>
      <c r="J9" s="1">
        <v>3.4</v>
      </c>
      <c r="K9" s="1">
        <v>98.1</v>
      </c>
      <c r="L9" s="1">
        <v>25.5</v>
      </c>
      <c r="M9" s="1">
        <v>177</v>
      </c>
      <c r="N9" s="1">
        <v>68</v>
      </c>
      <c r="O9" s="1">
        <v>120</v>
      </c>
      <c r="P9" s="1">
        <v>54</v>
      </c>
      <c r="Q9" s="1"/>
      <c r="R9" s="1">
        <v>100</v>
      </c>
      <c r="S9" s="1">
        <v>5.3</v>
      </c>
      <c r="T9" s="1">
        <v>10</v>
      </c>
      <c r="U9" s="1">
        <v>0.78</v>
      </c>
      <c r="V9" s="1">
        <v>96</v>
      </c>
      <c r="W9" s="1">
        <v>127.8</v>
      </c>
    </row>
    <row r="10" spans="1:23" x14ac:dyDescent="0.3">
      <c r="A10" s="1">
        <v>14</v>
      </c>
      <c r="B10" s="1" t="s">
        <v>19</v>
      </c>
      <c r="C10" s="1">
        <v>55</v>
      </c>
      <c r="D10" s="4">
        <v>26.18</v>
      </c>
      <c r="E10" s="1">
        <v>23</v>
      </c>
      <c r="F10" s="1">
        <v>17</v>
      </c>
      <c r="G10" s="1">
        <v>54</v>
      </c>
      <c r="H10" s="1">
        <v>0.9</v>
      </c>
      <c r="I10" s="1"/>
      <c r="J10" s="1">
        <v>4.7</v>
      </c>
      <c r="K10" s="1">
        <v>123</v>
      </c>
      <c r="L10" s="1">
        <v>27.1</v>
      </c>
      <c r="M10" s="1">
        <v>185</v>
      </c>
      <c r="N10" s="1">
        <v>88</v>
      </c>
      <c r="O10" s="1">
        <v>124</v>
      </c>
      <c r="P10" s="1">
        <v>56</v>
      </c>
      <c r="Q10" s="1"/>
      <c r="R10" s="1">
        <v>93</v>
      </c>
      <c r="S10" s="1">
        <v>5</v>
      </c>
      <c r="T10" s="1">
        <v>19</v>
      </c>
      <c r="U10" s="1">
        <v>1.07</v>
      </c>
      <c r="V10" s="1">
        <v>95</v>
      </c>
      <c r="W10" s="1">
        <v>85.8</v>
      </c>
    </row>
    <row r="11" spans="1:23" x14ac:dyDescent="0.3">
      <c r="A11" s="1">
        <v>15</v>
      </c>
      <c r="B11" s="1" t="s">
        <v>19</v>
      </c>
      <c r="C11" s="1">
        <v>52</v>
      </c>
      <c r="D11" s="4">
        <v>26.29</v>
      </c>
      <c r="E11" s="1">
        <v>23</v>
      </c>
      <c r="F11" s="1">
        <v>20</v>
      </c>
      <c r="G11" s="1">
        <v>81</v>
      </c>
      <c r="H11" s="1">
        <v>0.6</v>
      </c>
      <c r="I11" s="1"/>
      <c r="J11" s="1">
        <v>3.7</v>
      </c>
      <c r="K11" s="1">
        <v>94.5</v>
      </c>
      <c r="L11" s="1">
        <v>29.7</v>
      </c>
      <c r="M11" s="1">
        <v>190</v>
      </c>
      <c r="N11" s="1">
        <v>86</v>
      </c>
      <c r="O11" s="1">
        <v>121</v>
      </c>
      <c r="P11" s="1">
        <v>59</v>
      </c>
      <c r="Q11" s="1"/>
      <c r="R11" s="1">
        <v>107</v>
      </c>
      <c r="S11" s="1">
        <v>5.3</v>
      </c>
      <c r="T11" s="1">
        <v>9</v>
      </c>
      <c r="U11" s="1">
        <v>0.63</v>
      </c>
      <c r="V11" s="1">
        <v>124</v>
      </c>
      <c r="W11" s="1">
        <v>73.599999999999994</v>
      </c>
    </row>
    <row r="12" spans="1:23" x14ac:dyDescent="0.3">
      <c r="A12" s="1">
        <v>16</v>
      </c>
      <c r="B12" s="1" t="s">
        <v>17</v>
      </c>
      <c r="C12" s="1">
        <v>27</v>
      </c>
      <c r="D12" s="4">
        <v>24.34</v>
      </c>
      <c r="E12" s="1">
        <v>15</v>
      </c>
      <c r="F12" s="1">
        <v>12</v>
      </c>
      <c r="G12" s="1">
        <v>48</v>
      </c>
      <c r="H12" s="1">
        <v>0.3</v>
      </c>
      <c r="I12" s="1"/>
      <c r="J12" s="1">
        <v>4.3</v>
      </c>
      <c r="K12" s="1">
        <v>108.3</v>
      </c>
      <c r="L12" s="1">
        <v>30.3</v>
      </c>
      <c r="M12" s="1">
        <v>227</v>
      </c>
      <c r="N12" s="1">
        <v>420</v>
      </c>
      <c r="O12" s="1">
        <v>129</v>
      </c>
      <c r="P12" s="1">
        <v>42</v>
      </c>
      <c r="Q12" s="1"/>
      <c r="R12" s="1">
        <v>109</v>
      </c>
      <c r="S12" s="1">
        <v>5.8</v>
      </c>
      <c r="T12" s="1">
        <v>10</v>
      </c>
      <c r="U12" s="1">
        <v>0.79</v>
      </c>
      <c r="V12" s="1">
        <v>103</v>
      </c>
      <c r="W12" s="1">
        <v>153.30000000000001</v>
      </c>
    </row>
    <row r="13" spans="1:23" x14ac:dyDescent="0.3">
      <c r="A13" s="1">
        <v>17</v>
      </c>
      <c r="B13" s="1" t="s">
        <v>17</v>
      </c>
      <c r="C13" s="1">
        <v>42</v>
      </c>
      <c r="D13" s="4">
        <v>23.53</v>
      </c>
      <c r="E13" s="1">
        <v>14</v>
      </c>
      <c r="F13" s="1">
        <v>10</v>
      </c>
      <c r="G13" s="1">
        <v>42</v>
      </c>
      <c r="H13" s="1">
        <v>0.7</v>
      </c>
      <c r="I13" s="1"/>
      <c r="J13" s="1">
        <v>4</v>
      </c>
      <c r="K13" s="1">
        <v>101.8</v>
      </c>
      <c r="L13" s="1">
        <v>25.4</v>
      </c>
      <c r="M13" s="1">
        <v>157</v>
      </c>
      <c r="N13" s="1">
        <v>184</v>
      </c>
      <c r="O13" s="1">
        <v>90</v>
      </c>
      <c r="P13" s="1">
        <v>41</v>
      </c>
      <c r="Q13" s="1"/>
      <c r="R13" s="1">
        <v>92</v>
      </c>
      <c r="S13" s="1">
        <v>5.4</v>
      </c>
      <c r="T13" s="1">
        <v>16</v>
      </c>
      <c r="U13" s="1">
        <v>1.1100000000000001</v>
      </c>
      <c r="V13" s="1">
        <v>74</v>
      </c>
      <c r="W13" s="1">
        <v>108.7</v>
      </c>
    </row>
    <row r="14" spans="1:23" x14ac:dyDescent="0.3">
      <c r="A14" s="1">
        <v>18</v>
      </c>
      <c r="B14" s="1" t="s">
        <v>19</v>
      </c>
      <c r="C14" s="1">
        <v>26</v>
      </c>
      <c r="D14" s="4">
        <v>27.27</v>
      </c>
      <c r="E14" s="1">
        <v>30</v>
      </c>
      <c r="F14" s="1">
        <v>27</v>
      </c>
      <c r="G14" s="1">
        <v>70</v>
      </c>
      <c r="H14" s="1">
        <v>1.2</v>
      </c>
      <c r="I14" s="1"/>
      <c r="J14" s="1">
        <v>4.0999999999999996</v>
      </c>
      <c r="K14" s="1">
        <v>114.5</v>
      </c>
      <c r="L14" s="1">
        <v>23.8</v>
      </c>
      <c r="M14" s="1">
        <v>154</v>
      </c>
      <c r="N14" s="1">
        <v>92</v>
      </c>
      <c r="O14" s="1">
        <v>77</v>
      </c>
      <c r="P14" s="1">
        <v>56</v>
      </c>
      <c r="Q14" s="1"/>
      <c r="R14" s="1">
        <v>105</v>
      </c>
      <c r="S14" s="1">
        <v>5.7</v>
      </c>
      <c r="T14" s="1">
        <v>15</v>
      </c>
      <c r="U14" s="1">
        <v>0.75</v>
      </c>
      <c r="V14" s="1">
        <v>83</v>
      </c>
      <c r="W14" s="1">
        <v>109.7</v>
      </c>
    </row>
    <row r="15" spans="1:23" x14ac:dyDescent="0.3">
      <c r="A15" s="1">
        <v>19</v>
      </c>
      <c r="B15" s="1" t="s">
        <v>19</v>
      </c>
      <c r="C15" s="1">
        <v>21</v>
      </c>
      <c r="D15" s="4">
        <v>21.81</v>
      </c>
      <c r="E15" s="1">
        <v>20</v>
      </c>
      <c r="F15" s="1">
        <v>13</v>
      </c>
      <c r="G15" s="1">
        <v>88</v>
      </c>
      <c r="H15" s="1">
        <v>0.8</v>
      </c>
      <c r="I15" s="1"/>
      <c r="J15" s="1">
        <v>4.2</v>
      </c>
      <c r="K15" s="1">
        <v>103.3</v>
      </c>
      <c r="L15" s="1">
        <v>28.2</v>
      </c>
      <c r="M15" s="1">
        <v>240</v>
      </c>
      <c r="N15" s="1">
        <v>132</v>
      </c>
      <c r="O15" s="1">
        <v>164</v>
      </c>
      <c r="P15" s="1">
        <v>50</v>
      </c>
      <c r="Q15" s="1"/>
      <c r="R15" s="1">
        <v>113</v>
      </c>
      <c r="S15" s="1">
        <v>5.8</v>
      </c>
      <c r="T15" s="1">
        <v>17</v>
      </c>
      <c r="U15" s="1">
        <v>0.94</v>
      </c>
      <c r="V15" s="1">
        <v>93</v>
      </c>
      <c r="W15" s="1">
        <v>153</v>
      </c>
    </row>
    <row r="16" spans="1:23" x14ac:dyDescent="0.3">
      <c r="A16" s="1">
        <v>20</v>
      </c>
      <c r="B16" s="1" t="s">
        <v>17</v>
      </c>
      <c r="C16" s="1">
        <v>63</v>
      </c>
      <c r="D16" s="4">
        <v>22.49</v>
      </c>
      <c r="E16" s="1">
        <v>24</v>
      </c>
      <c r="F16" s="1">
        <v>12</v>
      </c>
      <c r="G16" s="1">
        <v>55</v>
      </c>
      <c r="H16" s="1">
        <v>0.7</v>
      </c>
      <c r="I16" s="1"/>
      <c r="J16" s="1">
        <v>3.7</v>
      </c>
      <c r="K16" s="1">
        <v>100.2</v>
      </c>
      <c r="L16" s="1">
        <v>21.8</v>
      </c>
      <c r="M16" s="1">
        <v>197</v>
      </c>
      <c r="N16" s="1">
        <v>74</v>
      </c>
      <c r="O16" s="1">
        <v>124</v>
      </c>
      <c r="P16" s="1">
        <v>72</v>
      </c>
      <c r="Q16" s="1"/>
      <c r="R16" s="1">
        <v>79</v>
      </c>
      <c r="S16" s="1">
        <v>5.2</v>
      </c>
      <c r="T16" s="1">
        <v>15</v>
      </c>
      <c r="U16" s="1">
        <v>0.73</v>
      </c>
      <c r="V16" s="1">
        <v>103</v>
      </c>
      <c r="W16" s="1">
        <v>91.7</v>
      </c>
    </row>
    <row r="17" spans="1:23" x14ac:dyDescent="0.3">
      <c r="A17" s="1">
        <v>21</v>
      </c>
      <c r="B17" s="1" t="s">
        <v>17</v>
      </c>
      <c r="C17" s="1">
        <v>63</v>
      </c>
      <c r="D17" s="4">
        <v>22.51</v>
      </c>
      <c r="E17" s="1">
        <v>18</v>
      </c>
      <c r="F17" s="1">
        <v>9</v>
      </c>
      <c r="G17" s="1">
        <v>67</v>
      </c>
      <c r="H17" s="1">
        <v>0.5</v>
      </c>
      <c r="I17" s="1"/>
      <c r="J17" s="1">
        <v>3.7</v>
      </c>
      <c r="K17" s="1">
        <v>98.7</v>
      </c>
      <c r="L17" s="1">
        <v>28</v>
      </c>
      <c r="M17" s="1">
        <v>233</v>
      </c>
      <c r="N17" s="1">
        <v>148</v>
      </c>
      <c r="O17" s="1">
        <v>157</v>
      </c>
      <c r="P17" s="1">
        <v>60</v>
      </c>
      <c r="Q17" s="1"/>
      <c r="R17" s="1">
        <v>91</v>
      </c>
      <c r="S17" s="1">
        <v>5.9</v>
      </c>
      <c r="T17" s="1">
        <v>21</v>
      </c>
      <c r="U17" s="1">
        <v>0.75</v>
      </c>
      <c r="V17" s="1">
        <v>83</v>
      </c>
      <c r="W17" s="1">
        <v>119.1</v>
      </c>
    </row>
    <row r="18" spans="1:23" x14ac:dyDescent="0.3">
      <c r="A18" s="1">
        <v>22</v>
      </c>
      <c r="B18" s="1" t="s">
        <v>19</v>
      </c>
      <c r="C18" s="1">
        <v>29</v>
      </c>
      <c r="D18" s="4">
        <v>23.76</v>
      </c>
      <c r="E18" s="1">
        <v>16</v>
      </c>
      <c r="F18" s="1">
        <v>16</v>
      </c>
      <c r="G18" s="1">
        <v>63</v>
      </c>
      <c r="H18" s="1">
        <v>0.6</v>
      </c>
      <c r="I18" s="1"/>
      <c r="J18" s="1">
        <v>3.6</v>
      </c>
      <c r="K18" s="1">
        <v>96.9</v>
      </c>
      <c r="L18" s="1">
        <v>29.1</v>
      </c>
      <c r="M18" s="1">
        <v>232</v>
      </c>
      <c r="N18" s="1">
        <v>96</v>
      </c>
      <c r="O18" s="1">
        <v>174</v>
      </c>
      <c r="P18" s="1">
        <v>55</v>
      </c>
      <c r="Q18" s="1"/>
      <c r="R18" s="1">
        <v>114</v>
      </c>
      <c r="S18" s="1">
        <v>5.3</v>
      </c>
      <c r="T18" s="1">
        <v>15</v>
      </c>
      <c r="U18" s="1">
        <v>0.79</v>
      </c>
      <c r="V18" s="1">
        <v>96</v>
      </c>
      <c r="W18" s="1">
        <v>81.099999999999994</v>
      </c>
    </row>
    <row r="19" spans="1:23" x14ac:dyDescent="0.3">
      <c r="A19" s="1">
        <v>23</v>
      </c>
      <c r="B19" s="1" t="s">
        <v>17</v>
      </c>
      <c r="C19" s="1">
        <v>38</v>
      </c>
      <c r="D19" s="4">
        <v>19.66</v>
      </c>
      <c r="E19" s="1">
        <v>17</v>
      </c>
      <c r="F19" s="1">
        <v>11</v>
      </c>
      <c r="G19" s="1">
        <v>51</v>
      </c>
      <c r="H19" s="1">
        <v>0.7</v>
      </c>
      <c r="I19" s="1"/>
      <c r="J19" s="1">
        <v>4</v>
      </c>
      <c r="K19" s="1">
        <v>111.9</v>
      </c>
      <c r="L19" s="1">
        <v>25.4</v>
      </c>
      <c r="M19" s="1">
        <v>231</v>
      </c>
      <c r="N19" s="1">
        <v>118</v>
      </c>
      <c r="O19" s="1">
        <v>170</v>
      </c>
      <c r="P19" s="1">
        <v>55</v>
      </c>
      <c r="Q19" s="1"/>
      <c r="R19" s="1">
        <v>82</v>
      </c>
      <c r="S19" s="1">
        <v>5.9</v>
      </c>
      <c r="T19" s="1">
        <v>10</v>
      </c>
      <c r="U19" s="1">
        <v>0.83</v>
      </c>
      <c r="V19" s="1">
        <v>102</v>
      </c>
      <c r="W19" s="1">
        <v>91.1</v>
      </c>
    </row>
    <row r="20" spans="1:23" x14ac:dyDescent="0.3">
      <c r="A20" s="1">
        <v>24</v>
      </c>
      <c r="B20" s="1" t="s">
        <v>17</v>
      </c>
      <c r="C20" s="1">
        <v>36</v>
      </c>
      <c r="D20" s="4">
        <v>26.06</v>
      </c>
      <c r="E20" s="1">
        <v>19</v>
      </c>
      <c r="F20" s="1">
        <v>11</v>
      </c>
      <c r="G20" s="1">
        <v>61</v>
      </c>
      <c r="H20" s="1">
        <v>0.3</v>
      </c>
      <c r="I20" s="1"/>
      <c r="J20" s="1">
        <v>3.9</v>
      </c>
      <c r="K20" s="1">
        <v>83.3</v>
      </c>
      <c r="L20" s="1">
        <v>31.8</v>
      </c>
      <c r="M20" s="1">
        <v>157</v>
      </c>
      <c r="N20" s="1">
        <v>83</v>
      </c>
      <c r="O20" s="1">
        <v>95</v>
      </c>
      <c r="P20" s="1">
        <v>54</v>
      </c>
      <c r="Q20" s="1"/>
      <c r="R20" s="1">
        <v>82</v>
      </c>
      <c r="S20" s="1">
        <v>5.2</v>
      </c>
      <c r="T20" s="1">
        <v>12</v>
      </c>
      <c r="U20" s="1">
        <v>0.98</v>
      </c>
      <c r="V20" s="1">
        <v>109</v>
      </c>
      <c r="W20" s="1">
        <v>62.2</v>
      </c>
    </row>
    <row r="21" spans="1:23" x14ac:dyDescent="0.3">
      <c r="A21" s="1">
        <v>25</v>
      </c>
      <c r="B21" s="1" t="s">
        <v>17</v>
      </c>
      <c r="C21" s="1">
        <v>70</v>
      </c>
      <c r="D21" s="4">
        <v>24.08</v>
      </c>
      <c r="E21" s="1">
        <v>22</v>
      </c>
      <c r="F21" s="1">
        <v>20</v>
      </c>
      <c r="G21" s="1">
        <v>69</v>
      </c>
      <c r="H21" s="1">
        <v>0.4</v>
      </c>
      <c r="I21" s="1"/>
      <c r="J21" s="1">
        <v>3.9</v>
      </c>
      <c r="K21" s="1">
        <v>94.5</v>
      </c>
      <c r="L21" s="1">
        <v>31.3</v>
      </c>
      <c r="M21" s="1">
        <v>237</v>
      </c>
      <c r="N21" s="1">
        <v>109</v>
      </c>
      <c r="O21" s="1">
        <v>181</v>
      </c>
      <c r="P21" s="1">
        <v>54</v>
      </c>
      <c r="Q21" s="1"/>
      <c r="R21" s="1">
        <v>100</v>
      </c>
      <c r="S21" s="1">
        <v>5.5</v>
      </c>
      <c r="T21" s="1">
        <v>13</v>
      </c>
      <c r="U21" s="1">
        <v>0.9</v>
      </c>
      <c r="V21" s="1">
        <v>94</v>
      </c>
      <c r="W21" s="1">
        <v>89</v>
      </c>
    </row>
    <row r="22" spans="1:23" x14ac:dyDescent="0.3">
      <c r="A22" s="1">
        <v>26</v>
      </c>
      <c r="B22" s="1" t="s">
        <v>19</v>
      </c>
      <c r="C22" s="1">
        <v>62</v>
      </c>
      <c r="D22" s="4">
        <v>23.28</v>
      </c>
      <c r="E22" s="1">
        <v>23</v>
      </c>
      <c r="F22" s="1">
        <v>24</v>
      </c>
      <c r="G22" s="1">
        <v>56</v>
      </c>
      <c r="H22" s="1">
        <v>0.3</v>
      </c>
      <c r="I22" s="1"/>
      <c r="J22" s="1">
        <v>4.3</v>
      </c>
      <c r="K22" s="1">
        <v>103.5</v>
      </c>
      <c r="L22" s="1">
        <v>31.9</v>
      </c>
      <c r="M22" s="1">
        <v>174</v>
      </c>
      <c r="N22" s="1">
        <v>63</v>
      </c>
      <c r="O22" s="1">
        <v>106</v>
      </c>
      <c r="P22" s="1">
        <v>59</v>
      </c>
      <c r="Q22" s="1"/>
      <c r="R22" s="1">
        <v>91</v>
      </c>
      <c r="S22" s="1">
        <v>5.0999999999999996</v>
      </c>
      <c r="T22" s="1">
        <v>15</v>
      </c>
      <c r="U22" s="1">
        <v>0.6</v>
      </c>
      <c r="V22" s="1">
        <v>124</v>
      </c>
      <c r="W22" s="1">
        <v>130.6</v>
      </c>
    </row>
  </sheetData>
  <sortState ref="A1:H22">
    <sortCondition ref="A1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Han</dc:creator>
  <cp:lastModifiedBy>nva_kist</cp:lastModifiedBy>
  <dcterms:created xsi:type="dcterms:W3CDTF">2025-12-19T01:26:03Z</dcterms:created>
  <dcterms:modified xsi:type="dcterms:W3CDTF">2026-01-29T06:29:28Z</dcterms:modified>
</cp:coreProperties>
</file>